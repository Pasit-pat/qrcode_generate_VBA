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7970" windowHeight="6060"/>
  </bookViews>
  <sheets>
    <sheet name="QRCODE" sheetId="1" r:id="rId1"/>
    <sheet name="Generate" sheetId="2" r:id="rId2"/>
  </sheets>
  <definedNames>
    <definedName name="_xlnm._FilterDatabase" localSheetId="1" hidden="1">Generate!$A$1:$B$20</definedName>
    <definedName name="_xlnm.Print_Area" localSheetId="0">QRCODE!$A$1:$T$773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M10" i="2" s="1"/>
  <c r="K11" i="2"/>
  <c r="K12" i="2"/>
  <c r="K13" i="2"/>
  <c r="K14" i="2"/>
  <c r="K15" i="2"/>
  <c r="K16" i="2"/>
  <c r="M16" i="2" s="1"/>
  <c r="K17" i="2"/>
  <c r="M17" i="2" s="1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M71" i="2" s="1"/>
  <c r="K72" i="2"/>
  <c r="M72" i="2" s="1"/>
  <c r="K73" i="2"/>
  <c r="K74" i="2"/>
  <c r="M74" i="2" s="1"/>
  <c r="K75" i="2"/>
  <c r="M75" i="2" s="1"/>
  <c r="K76" i="2"/>
  <c r="M76" i="2" s="1"/>
  <c r="K77" i="2"/>
  <c r="M77" i="2" s="1"/>
  <c r="K78" i="2"/>
  <c r="M78" i="2" s="1"/>
  <c r="K79" i="2"/>
  <c r="M79" i="2" s="1"/>
  <c r="K80" i="2"/>
  <c r="M80" i="2" s="1"/>
  <c r="K81" i="2"/>
  <c r="M81" i="2" s="1"/>
  <c r="K82" i="2"/>
  <c r="M82" i="2" s="1"/>
  <c r="K83" i="2"/>
  <c r="M83" i="2" s="1"/>
  <c r="K84" i="2"/>
  <c r="M84" i="2" s="1"/>
  <c r="K85" i="2"/>
  <c r="M85" i="2" s="1"/>
  <c r="K86" i="2"/>
  <c r="M86" i="2" s="1"/>
  <c r="K87" i="2"/>
  <c r="M87" i="2" s="1"/>
  <c r="K88" i="2"/>
  <c r="M88" i="2" s="1"/>
  <c r="K89" i="2"/>
  <c r="M89" i="2" s="1"/>
  <c r="K90" i="2"/>
  <c r="M90" i="2" s="1"/>
  <c r="K91" i="2"/>
  <c r="M91" i="2" s="1"/>
  <c r="K92" i="2"/>
  <c r="K93" i="2"/>
  <c r="K94" i="2"/>
  <c r="K2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3" i="2"/>
  <c r="M92" i="2"/>
  <c r="M93" i="2"/>
  <c r="M94" i="2"/>
  <c r="M2" i="2"/>
  <c r="M3" i="2"/>
  <c r="M4" i="2"/>
  <c r="M5" i="2"/>
  <c r="M6" i="2"/>
  <c r="M7" i="2"/>
  <c r="M8" i="2"/>
  <c r="M9" i="2"/>
  <c r="M11" i="2"/>
  <c r="M12" i="2"/>
  <c r="M13" i="2"/>
  <c r="M14" i="2"/>
  <c r="M15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</calcChain>
</file>

<file path=xl/sharedStrings.xml><?xml version="1.0" encoding="utf-8"?>
<sst xmlns="http://schemas.openxmlformats.org/spreadsheetml/2006/main" count="655" uniqueCount="203">
  <si>
    <t>SAP/No</t>
  </si>
  <si>
    <t>Discription</t>
  </si>
  <si>
    <t>KR051500604</t>
  </si>
  <si>
    <t>MAIN PCBA 120MM*60MM AS0000002048</t>
  </si>
  <si>
    <t>KR051531104</t>
  </si>
  <si>
    <t>MAIN PCBA AS0000004820</t>
  </si>
  <si>
    <t>KR011802404</t>
  </si>
  <si>
    <t>CLEAR TAPE,W60MM,T0.46ΜM,1000YARD/ROLL</t>
  </si>
  <si>
    <t>KR051528904</t>
  </si>
  <si>
    <t>Rear Housing Matte White IML Ext.</t>
  </si>
  <si>
    <t>KR051523004</t>
  </si>
  <si>
    <t>HWT 1460W 120V K750</t>
  </si>
  <si>
    <t>KR011801504</t>
  </si>
  <si>
    <t>TAPE,3M,RUBAN SCOTCH TAPE 3/4"W</t>
  </si>
  <si>
    <t>KR051500104</t>
  </si>
  <si>
    <t>Water&amp;Air Pump DC 12V</t>
  </si>
  <si>
    <t>KR051519704</t>
  </si>
  <si>
    <t>Base Mallard Blue,Plus</t>
  </si>
  <si>
    <t>KR051537004</t>
  </si>
  <si>
    <t>Base Metallic Painting CoolAqua Plus,Ext</t>
  </si>
  <si>
    <t>KR051519604</t>
  </si>
  <si>
    <t>Base Ghost Gray,Plus</t>
  </si>
  <si>
    <t>KR051521804</t>
  </si>
  <si>
    <t>Base Matte WhiteMetallicPaintingPlus Ext</t>
  </si>
  <si>
    <t>KR051516104</t>
  </si>
  <si>
    <t>Base Black,Metallic Painting Plus</t>
  </si>
  <si>
    <t>KR051516404</t>
  </si>
  <si>
    <t>Base Red,Metallic Painting Plus</t>
  </si>
  <si>
    <t>KR051528804</t>
  </si>
  <si>
    <t>Front Panel Matte White IML Ext.</t>
  </si>
  <si>
    <t>KR051500204</t>
  </si>
  <si>
    <t>Vent Valve DC 12V</t>
  </si>
  <si>
    <t>KR051535204</t>
  </si>
  <si>
    <t>BUTTON PCBA PLUS 70mm*60mm AS0000002809</t>
  </si>
  <si>
    <t>KR051531004</t>
  </si>
  <si>
    <t>UI PCBA BASIC AS0000002808</t>
  </si>
  <si>
    <t>KR051514904</t>
  </si>
  <si>
    <t>Button PCBA PLUS 70mm*60mm AS0000000600</t>
  </si>
  <si>
    <t>KR051500704</t>
  </si>
  <si>
    <t>Button PCBA 70mm*60mm AS0000000574</t>
  </si>
  <si>
    <t>SAP ID</t>
  </si>
  <si>
    <t>SNP</t>
  </si>
  <si>
    <t>Location</t>
  </si>
  <si>
    <t>Generate</t>
  </si>
  <si>
    <t>SNPC</t>
  </si>
  <si>
    <t>KR071509304</t>
  </si>
  <si>
    <t>MAIN PCBA ELITE AS0000003344</t>
  </si>
  <si>
    <t>KR071509204</t>
  </si>
  <si>
    <t>UI PCBA ELITE AS0000003063</t>
  </si>
  <si>
    <t>KR071509604</t>
  </si>
  <si>
    <t>HANDLE ELITE</t>
  </si>
  <si>
    <t>KR061502904</t>
  </si>
  <si>
    <t>CONJOIN WATER PUMP CJWP27-AC12B3</t>
  </si>
  <si>
    <t>KR071509104</t>
  </si>
  <si>
    <t>OLED ELITE</t>
  </si>
  <si>
    <t>KR071800104</t>
  </si>
  <si>
    <t>GIFT BOX ELITE COSTCO</t>
  </si>
  <si>
    <t>KR071510904</t>
  </si>
  <si>
    <t>UNIVERSAL MY K CUP ELITE</t>
  </si>
  <si>
    <t>KR071400804</t>
  </si>
  <si>
    <t>ASM CWT KSUPREME PLUS</t>
  </si>
  <si>
    <t>KR071506304</t>
  </si>
  <si>
    <t>FLOW THRU HEATER</t>
  </si>
  <si>
    <t>KR071801204</t>
  </si>
  <si>
    <t>GIFT BOX ELITE CAN</t>
  </si>
  <si>
    <t>KR071801704</t>
  </si>
  <si>
    <t>GIFT BOX ELITE CANADA COSTCO</t>
  </si>
  <si>
    <t>KR071504404</t>
  </si>
  <si>
    <t>MAIN HOUSING ELITE EXT.</t>
  </si>
  <si>
    <t>KR071801104</t>
  </si>
  <si>
    <t>GIFT BOX ELITE USA</t>
  </si>
  <si>
    <t>KR071511504</t>
  </si>
  <si>
    <t>OVP K-SUPREME PLUS CWT</t>
  </si>
  <si>
    <t>KR071500404</t>
  </si>
  <si>
    <t>CWT ELITE EXT.</t>
  </si>
  <si>
    <t>KR061503004</t>
  </si>
  <si>
    <t>AIR PUMP ELITE</t>
  </si>
  <si>
    <t>KR051804804</t>
  </si>
  <si>
    <t>MASTER CARTON K MINI DRIP TRAY ASSY</t>
  </si>
  <si>
    <t>F5-Shelf</t>
  </si>
  <si>
    <t>Part Desc</t>
  </si>
  <si>
    <t/>
  </si>
  <si>
    <t>KR051522904</t>
  </si>
  <si>
    <t>F6-K</t>
  </si>
  <si>
    <t>KR051524304</t>
  </si>
  <si>
    <t>PSNP</t>
  </si>
  <si>
    <t>SNP-1</t>
  </si>
  <si>
    <t>un_SNP1</t>
  </si>
  <si>
    <t>SNP-2</t>
  </si>
  <si>
    <t>un_SNP2</t>
  </si>
  <si>
    <t>SNP-3</t>
  </si>
  <si>
    <t>un_SNP3</t>
  </si>
  <si>
    <t>CP011501104</t>
  </si>
  <si>
    <t>Soldering Wire (Sn 0.7Cu)</t>
  </si>
  <si>
    <t>kg</t>
  </si>
  <si>
    <t>pcs</t>
  </si>
  <si>
    <t>KR011501004</t>
  </si>
  <si>
    <t>SLEEVE SHRINKABLE,ID3,QIFURUI QFR-H</t>
  </si>
  <si>
    <t>Pcs</t>
  </si>
  <si>
    <t>KR011502204</t>
  </si>
  <si>
    <t>TUBE,SHRINKABLE,ID 5,QIFURUI QFR-H</t>
  </si>
  <si>
    <t>KR011504004</t>
  </si>
  <si>
    <t>BRACKET,VENT VALVE</t>
  </si>
  <si>
    <t>KR011506404</t>
  </si>
  <si>
    <t>TUBING,SILICONE,L TUBE K40</t>
  </si>
  <si>
    <t>KR011512404</t>
  </si>
  <si>
    <t>CONNECTOR,WIRE,CE2,HEAVY POWER,JINBI</t>
  </si>
  <si>
    <t>KR011512604</t>
  </si>
  <si>
    <t>TERMINAL,RING,TINNED BRASS</t>
  </si>
  <si>
    <t>KR011518504</t>
  </si>
  <si>
    <t>JIA CHEN TIE CABLE NYLON L100*W2.5*T1mm</t>
  </si>
  <si>
    <t>KR051500304</t>
  </si>
  <si>
    <t>Check Valve CV OD-8</t>
  </si>
  <si>
    <t>KR051500504</t>
  </si>
  <si>
    <t>Fuse SFH124R0</t>
  </si>
  <si>
    <t>KR051500904</t>
  </si>
  <si>
    <t>LOCK LEVER PIN SUS304Φ3.35*41</t>
  </si>
  <si>
    <t>KR051501004</t>
  </si>
  <si>
    <t>FILTER MESH SUS304 120MESH</t>
  </si>
  <si>
    <t>KR051501104</t>
  </si>
  <si>
    <t>LOCK SPRING SUS304 OD6 Φ0.5 L20.5(P=2.5)</t>
  </si>
  <si>
    <t>KR051501204</t>
  </si>
  <si>
    <t>BUTTON SPRING SUS304 OD3 Φ0.3 L15(P=1.5)</t>
  </si>
  <si>
    <t>KR051501304</t>
  </si>
  <si>
    <t>SPRING CWT SUS304 OD8 Φ0.4 L16.2(P=4.3)</t>
  </si>
  <si>
    <t>KR051501404</t>
  </si>
  <si>
    <t>PM SLIDER LOCK SPRING SUS304 Φ0.4</t>
  </si>
  <si>
    <t>KR051501804</t>
  </si>
  <si>
    <t>PCBA SEAL BASIC Silicon50 Transparent</t>
  </si>
  <si>
    <t>KR051502004</t>
  </si>
  <si>
    <t>SEAL TANK ADAPTOR Silicon 80 Nature</t>
  </si>
  <si>
    <t>KR051502104</t>
  </si>
  <si>
    <t>SEAL TANK ADAPTOR PLUS Silicon 50 Nature</t>
  </si>
  <si>
    <t>KR051502204</t>
  </si>
  <si>
    <t>RUBBER FOOT Silicon ShoreA 50 Black</t>
  </si>
  <si>
    <t>KR051502304</t>
  </si>
  <si>
    <t>LOCATION BASE Silicon ShoreA 60 Black</t>
  </si>
  <si>
    <t>KR051502704</t>
  </si>
  <si>
    <t>SEAL VENT VALVE Silicon ShoreA 50 Black</t>
  </si>
  <si>
    <t>KR051506404</t>
  </si>
  <si>
    <t>KR051511004</t>
  </si>
  <si>
    <t>PROGRAMING CONNECTOR Model: 292254-4</t>
  </si>
  <si>
    <t>KR051511804</t>
  </si>
  <si>
    <t>FUSE CLAMP SUS301 T0.5</t>
  </si>
  <si>
    <t>KR051512804</t>
  </si>
  <si>
    <t>TUBE OD8 ID4 L285</t>
  </si>
  <si>
    <t>KR051513304</t>
  </si>
  <si>
    <t>Tube OD6 ID3 L115</t>
  </si>
  <si>
    <t>KR051513404</t>
  </si>
  <si>
    <t>Door Switch Cable 26AWG UL1430 L=270mm*2</t>
  </si>
  <si>
    <t>KR051513504</t>
  </si>
  <si>
    <t>CWT Probe Wire 26AWG UL1430 L=165mm*1</t>
  </si>
  <si>
    <t>KR051513604</t>
  </si>
  <si>
    <t>Solenoid Valve Cable26AWG UL1430 L=140*2</t>
  </si>
  <si>
    <t>KR051513704</t>
  </si>
  <si>
    <t>Pump Cable 26AWG UL1430 L=125mm*2</t>
  </si>
  <si>
    <t>KR051513804</t>
  </si>
  <si>
    <t>HWT Probe Wires 26AWG UL1430 L=195mm</t>
  </si>
  <si>
    <t>KR051513904</t>
  </si>
  <si>
    <t>CWT Ground Wire 26AWG UL1430 L=175mm</t>
  </si>
  <si>
    <t>KR051514004</t>
  </si>
  <si>
    <t>Heater Neutral Cable16AWG UL3132 L=150mm</t>
  </si>
  <si>
    <t>KR051514204</t>
  </si>
  <si>
    <t>Heater Line Cable 16AWG UL3132 L=190mm</t>
  </si>
  <si>
    <t>KR051514504</t>
  </si>
  <si>
    <t>Access Port Cable 26AWG UL1430 L=180mm*4</t>
  </si>
  <si>
    <t>KR051514604</t>
  </si>
  <si>
    <t>TUBE SHRINKABLE ID11* 50MML</t>
  </si>
  <si>
    <t>KR051515004</t>
  </si>
  <si>
    <t>FOAM 50mm*10mm*T3 PE 28Kg/m3</t>
  </si>
  <si>
    <t>KR051515104</t>
  </si>
  <si>
    <t>SILICONE ADHESIVE SEALANT MOMENTIVE 382</t>
  </si>
  <si>
    <t>KR051515604</t>
  </si>
  <si>
    <t>Nozzle Surround,Metallic Painting Plus</t>
  </si>
  <si>
    <t>KR051515704</t>
  </si>
  <si>
    <t>Bail ABS Sliver Painting Basic</t>
  </si>
  <si>
    <t>KR051515804</t>
  </si>
  <si>
    <t>Bail ,ABS Metallic Painting,Plus</t>
  </si>
  <si>
    <t>HWT SEAL Silicon Shore A 50 Nature K750</t>
  </si>
  <si>
    <t>KR051523104</t>
  </si>
  <si>
    <t>Thermal FuseCable16AWG UL3132 L190mmK750</t>
  </si>
  <si>
    <t>CWT SEAL Silicon ShoreA 30±5 Transparent</t>
  </si>
  <si>
    <t>KR051526604</t>
  </si>
  <si>
    <t>Tube OD7 ID4 L380</t>
  </si>
  <si>
    <t>KR051526704</t>
  </si>
  <si>
    <t>Tube OD7 ID4 L140</t>
  </si>
  <si>
    <t>KR051526804</t>
  </si>
  <si>
    <t>Tube OD7 ID4 L160</t>
  </si>
  <si>
    <t>KR051526904</t>
  </si>
  <si>
    <t>Mesh For Orifice</t>
  </si>
  <si>
    <t>KR051529804</t>
  </si>
  <si>
    <t>Bail,Vyteen ABS Blue 285C Painting,Basic</t>
  </si>
  <si>
    <t>KR051530304</t>
  </si>
  <si>
    <t>Holder K-Cup Black,Ext</t>
  </si>
  <si>
    <t>KR051530204</t>
  </si>
  <si>
    <t>Orifice Base Natural,Ext</t>
  </si>
  <si>
    <t>KR051530004</t>
  </si>
  <si>
    <t>Tank Adaptor Black,Basic,Ext</t>
  </si>
  <si>
    <t>KR051512404</t>
  </si>
  <si>
    <t>PUMP DAMPER NBR Shore A 30</t>
  </si>
  <si>
    <t>40</t>
  </si>
  <si>
    <t>QR generating end  :20-Nov-20 1:22:14 PM</t>
  </si>
  <si>
    <t>58 QR done in 0 days 0 hours 2 minutes 20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</si>
</sst>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Segoe UI"/>
      <family val="2"/>
    </font>
    <font>
      <b/>
      <sz val="18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2" borderId="0" xfId="0" applyFill="1" applyBorder="1"/>
    <xf numFmtId="0" fontId="0" fillId="2" borderId="0" xfId="0" applyFill="1" applyBorder="1" applyAlignment="1">
      <alignment vertical="center"/>
    </xf>
    <xf numFmtId="0" fontId="0" fillId="3" borderId="0" xfId="0" applyFill="1" applyBorder="1"/>
    <xf numFmtId="49" fontId="0" fillId="0" borderId="0" xfId="0" applyNumberFormat="1"/>
    <xf numFmtId="0" fontId="0" fillId="0" borderId="0" xfId="0" applyFill="1" applyBorder="1" applyAlignment="1">
      <alignment horizontal="left"/>
    </xf>
    <xf numFmtId="0" fontId="0" fillId="0" borderId="0" xfId="0" applyNumberFormat="1"/>
    <xf numFmtId="0" fontId="0" fillId="0" borderId="4" xfId="0" applyFill="1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left"/>
    </xf>
    <xf numFmtId="0" fontId="4" fillId="3" borderId="0" xfId="0" applyFont="1" applyFill="1" applyBorder="1"/>
    <xf numFmtId="0" fontId="0" fillId="3" borderId="0" xfId="0" applyFill="1" applyBorder="1" applyAlignment="1">
      <alignment vertical="center" wrapText="1"/>
    </xf>
    <xf numFmtId="0" fontId="0" fillId="3" borderId="0" xfId="0" applyFill="1" applyBorder="1" applyAlignment="1">
      <alignment horizontal="left" vertical="center" wrapText="1"/>
    </xf>
    <xf numFmtId="0" fontId="5" fillId="3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horizontal="left" vertical="center"/>
    </xf>
    <xf numFmtId="0" fontId="5" fillId="3" borderId="0" xfId="0" quotePrefix="1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1" xfId="0" applyFill="1" applyBorder="1"/>
    <xf numFmtId="0" fontId="3" fillId="0" borderId="4" xfId="0" applyFont="1" applyFill="1" applyBorder="1" applyAlignment="1">
      <alignment vertical="center"/>
    </xf>
    <xf numFmtId="0" fontId="4" fillId="3" borderId="4" xfId="0" applyFont="1" applyFill="1" applyBorder="1"/>
    <xf numFmtId="0" fontId="0" fillId="3" borderId="4" xfId="0" applyFill="1" applyBorder="1" applyAlignment="1">
      <alignment vertical="center" wrapText="1"/>
    </xf>
    <xf numFmtId="0" fontId="0" fillId="3" borderId="4" xfId="0" applyFill="1" applyBorder="1" applyAlignment="1">
      <alignment horizontal="left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2" applyNumberFormat="1" applyFont="1" applyAlignment="1">
      <alignment vertical="center"/>
    </xf>
  </cellXfs>
  <cellStyles count="3">
    <cellStyle name="Comma" xfId="2" builtinId="3"/>
    <cellStyle name="Normal" xfId="0" builtinId="0"/>
    <cellStyle name="Normal 2" xfId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http://qrcode.kaywa.com/img.php?s=8&amp;d=pcs" TargetMode="External"/><Relationship Id="rId2" Type="http://schemas.openxmlformats.org/officeDocument/2006/relationships/image" Target="http://qrcode.kaywa.com/img.php?s=8&amp;d=Pcs" TargetMode="External"/><Relationship Id="rId1" Type="http://schemas.openxmlformats.org/officeDocument/2006/relationships/image" Target="http://qrcode.kaywa.com/img.php?s=8&amp;d=k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571500</xdr:colOff>
          <xdr:row>2</xdr:row>
          <xdr:rowOff>19050</xdr:rowOff>
        </xdr:from>
        <xdr:to>
          <xdr:col>22</xdr:col>
          <xdr:colOff>412750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QRGen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571500</xdr:colOff>
          <xdr:row>0</xdr:row>
          <xdr:rowOff>317500</xdr:rowOff>
        </xdr:from>
        <xdr:to>
          <xdr:col>22</xdr:col>
          <xdr:colOff>428625</xdr:colOff>
          <xdr:row>1</xdr:row>
          <xdr:rowOff>587375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8</xdr:row>
      <xdr:rowOff>1</xdr:rowOff>
    </xdr:from>
    <xdr:to>
      <xdr:col>19</xdr:col>
      <xdr:colOff>64421</xdr:colOff>
      <xdr:row>16</xdr:row>
      <xdr:rowOff>127001</xdr:rowOff>
    </xdr:to>
    <xdr:pic>
      <xdr:nvPicPr>
        <xdr:cNvPr id="2567" name="Picture 256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00550" y="15240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29</xdr:row>
      <xdr:rowOff>1</xdr:rowOff>
    </xdr:from>
    <xdr:to>
      <xdr:col>19</xdr:col>
      <xdr:colOff>64421</xdr:colOff>
      <xdr:row>37</xdr:row>
      <xdr:rowOff>127001</xdr:rowOff>
    </xdr:to>
    <xdr:pic>
      <xdr:nvPicPr>
        <xdr:cNvPr id="2568" name="Picture 2567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62579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50</xdr:row>
      <xdr:rowOff>1</xdr:rowOff>
    </xdr:from>
    <xdr:to>
      <xdr:col>19</xdr:col>
      <xdr:colOff>64421</xdr:colOff>
      <xdr:row>58</xdr:row>
      <xdr:rowOff>127001</xdr:rowOff>
    </xdr:to>
    <xdr:pic>
      <xdr:nvPicPr>
        <xdr:cNvPr id="2569" name="Picture 2568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09918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71</xdr:row>
      <xdr:rowOff>1</xdr:rowOff>
    </xdr:from>
    <xdr:to>
      <xdr:col>19</xdr:col>
      <xdr:colOff>64421</xdr:colOff>
      <xdr:row>79</xdr:row>
      <xdr:rowOff>127001</xdr:rowOff>
    </xdr:to>
    <xdr:pic>
      <xdr:nvPicPr>
        <xdr:cNvPr id="2570" name="Picture 2569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57257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92</xdr:row>
      <xdr:rowOff>1</xdr:rowOff>
    </xdr:from>
    <xdr:to>
      <xdr:col>19</xdr:col>
      <xdr:colOff>64421</xdr:colOff>
      <xdr:row>100</xdr:row>
      <xdr:rowOff>127001</xdr:rowOff>
    </xdr:to>
    <xdr:pic>
      <xdr:nvPicPr>
        <xdr:cNvPr id="2571" name="Picture 2570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204597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113</xdr:row>
      <xdr:rowOff>1</xdr:rowOff>
    </xdr:from>
    <xdr:to>
      <xdr:col>19</xdr:col>
      <xdr:colOff>64421</xdr:colOff>
      <xdr:row>121</xdr:row>
      <xdr:rowOff>127001</xdr:rowOff>
    </xdr:to>
    <xdr:pic>
      <xdr:nvPicPr>
        <xdr:cNvPr id="2572" name="Picture 257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251936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134</xdr:row>
      <xdr:rowOff>1</xdr:rowOff>
    </xdr:from>
    <xdr:to>
      <xdr:col>19</xdr:col>
      <xdr:colOff>64421</xdr:colOff>
      <xdr:row>142</xdr:row>
      <xdr:rowOff>127001</xdr:rowOff>
    </xdr:to>
    <xdr:pic>
      <xdr:nvPicPr>
        <xdr:cNvPr id="2573" name="Picture 257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299275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155</xdr:row>
      <xdr:rowOff>1</xdr:rowOff>
    </xdr:from>
    <xdr:to>
      <xdr:col>19</xdr:col>
      <xdr:colOff>64421</xdr:colOff>
      <xdr:row>163</xdr:row>
      <xdr:rowOff>127001</xdr:rowOff>
    </xdr:to>
    <xdr:pic>
      <xdr:nvPicPr>
        <xdr:cNvPr id="2574" name="Picture 2573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346614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176</xdr:row>
      <xdr:rowOff>1</xdr:rowOff>
    </xdr:from>
    <xdr:to>
      <xdr:col>19</xdr:col>
      <xdr:colOff>64421</xdr:colOff>
      <xdr:row>184</xdr:row>
      <xdr:rowOff>127001</xdr:rowOff>
    </xdr:to>
    <xdr:pic>
      <xdr:nvPicPr>
        <xdr:cNvPr id="2575" name="Picture 257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393954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197</xdr:row>
      <xdr:rowOff>1</xdr:rowOff>
    </xdr:from>
    <xdr:to>
      <xdr:col>19</xdr:col>
      <xdr:colOff>64421</xdr:colOff>
      <xdr:row>205</xdr:row>
      <xdr:rowOff>127001</xdr:rowOff>
    </xdr:to>
    <xdr:pic>
      <xdr:nvPicPr>
        <xdr:cNvPr id="2576" name="Picture 2575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441293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218</xdr:row>
      <xdr:rowOff>1</xdr:rowOff>
    </xdr:from>
    <xdr:to>
      <xdr:col>19</xdr:col>
      <xdr:colOff>64421</xdr:colOff>
      <xdr:row>226</xdr:row>
      <xdr:rowOff>127001</xdr:rowOff>
    </xdr:to>
    <xdr:pic>
      <xdr:nvPicPr>
        <xdr:cNvPr id="2577" name="Picture 2576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488632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239</xdr:row>
      <xdr:rowOff>1</xdr:rowOff>
    </xdr:from>
    <xdr:to>
      <xdr:col>19</xdr:col>
      <xdr:colOff>64421</xdr:colOff>
      <xdr:row>247</xdr:row>
      <xdr:rowOff>127001</xdr:rowOff>
    </xdr:to>
    <xdr:pic>
      <xdr:nvPicPr>
        <xdr:cNvPr id="2578" name="Picture 2577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535971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260</xdr:row>
      <xdr:rowOff>1</xdr:rowOff>
    </xdr:from>
    <xdr:to>
      <xdr:col>19</xdr:col>
      <xdr:colOff>64421</xdr:colOff>
      <xdr:row>268</xdr:row>
      <xdr:rowOff>127001</xdr:rowOff>
    </xdr:to>
    <xdr:pic>
      <xdr:nvPicPr>
        <xdr:cNvPr id="2579" name="Picture 2578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583311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281</xdr:row>
      <xdr:rowOff>1</xdr:rowOff>
    </xdr:from>
    <xdr:to>
      <xdr:col>19</xdr:col>
      <xdr:colOff>64421</xdr:colOff>
      <xdr:row>289</xdr:row>
      <xdr:rowOff>127001</xdr:rowOff>
    </xdr:to>
    <xdr:pic>
      <xdr:nvPicPr>
        <xdr:cNvPr id="2580" name="Picture 2579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630650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302</xdr:row>
      <xdr:rowOff>1</xdr:rowOff>
    </xdr:from>
    <xdr:to>
      <xdr:col>19</xdr:col>
      <xdr:colOff>64421</xdr:colOff>
      <xdr:row>310</xdr:row>
      <xdr:rowOff>127001</xdr:rowOff>
    </xdr:to>
    <xdr:pic>
      <xdr:nvPicPr>
        <xdr:cNvPr id="2581" name="Picture 2580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677989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323</xdr:row>
      <xdr:rowOff>1</xdr:rowOff>
    </xdr:from>
    <xdr:to>
      <xdr:col>19</xdr:col>
      <xdr:colOff>64421</xdr:colOff>
      <xdr:row>331</xdr:row>
      <xdr:rowOff>127001</xdr:rowOff>
    </xdr:to>
    <xdr:pic>
      <xdr:nvPicPr>
        <xdr:cNvPr id="2582" name="Picture 2581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725328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344</xdr:row>
      <xdr:rowOff>1</xdr:rowOff>
    </xdr:from>
    <xdr:to>
      <xdr:col>19</xdr:col>
      <xdr:colOff>64421</xdr:colOff>
      <xdr:row>352</xdr:row>
      <xdr:rowOff>127001</xdr:rowOff>
    </xdr:to>
    <xdr:pic>
      <xdr:nvPicPr>
        <xdr:cNvPr id="2583" name="Picture 2582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772668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365</xdr:row>
      <xdr:rowOff>1</xdr:rowOff>
    </xdr:from>
    <xdr:to>
      <xdr:col>19</xdr:col>
      <xdr:colOff>64421</xdr:colOff>
      <xdr:row>373</xdr:row>
      <xdr:rowOff>127001</xdr:rowOff>
    </xdr:to>
    <xdr:pic>
      <xdr:nvPicPr>
        <xdr:cNvPr id="2584" name="Picture 2583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820007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386</xdr:row>
      <xdr:rowOff>1</xdr:rowOff>
    </xdr:from>
    <xdr:to>
      <xdr:col>19</xdr:col>
      <xdr:colOff>64421</xdr:colOff>
      <xdr:row>394</xdr:row>
      <xdr:rowOff>127001</xdr:rowOff>
    </xdr:to>
    <xdr:pic>
      <xdr:nvPicPr>
        <xdr:cNvPr id="2585" name="Picture 258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867346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407</xdr:row>
      <xdr:rowOff>1</xdr:rowOff>
    </xdr:from>
    <xdr:to>
      <xdr:col>19</xdr:col>
      <xdr:colOff>64421</xdr:colOff>
      <xdr:row>415</xdr:row>
      <xdr:rowOff>127001</xdr:rowOff>
    </xdr:to>
    <xdr:pic>
      <xdr:nvPicPr>
        <xdr:cNvPr id="2586" name="Picture 2585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914685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428</xdr:row>
      <xdr:rowOff>1</xdr:rowOff>
    </xdr:from>
    <xdr:to>
      <xdr:col>19</xdr:col>
      <xdr:colOff>64421</xdr:colOff>
      <xdr:row>436</xdr:row>
      <xdr:rowOff>127001</xdr:rowOff>
    </xdr:to>
    <xdr:pic>
      <xdr:nvPicPr>
        <xdr:cNvPr id="2587" name="Picture 2586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962025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449</xdr:row>
      <xdr:rowOff>1</xdr:rowOff>
    </xdr:from>
    <xdr:to>
      <xdr:col>19</xdr:col>
      <xdr:colOff>64421</xdr:colOff>
      <xdr:row>457</xdr:row>
      <xdr:rowOff>127001</xdr:rowOff>
    </xdr:to>
    <xdr:pic>
      <xdr:nvPicPr>
        <xdr:cNvPr id="2588" name="Picture 2587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1009364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470</xdr:row>
      <xdr:rowOff>1</xdr:rowOff>
    </xdr:from>
    <xdr:to>
      <xdr:col>19</xdr:col>
      <xdr:colOff>64421</xdr:colOff>
      <xdr:row>478</xdr:row>
      <xdr:rowOff>127001</xdr:rowOff>
    </xdr:to>
    <xdr:pic>
      <xdr:nvPicPr>
        <xdr:cNvPr id="2589" name="Picture 2588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00550" y="1056703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491</xdr:row>
      <xdr:rowOff>1</xdr:rowOff>
    </xdr:from>
    <xdr:to>
      <xdr:col>19</xdr:col>
      <xdr:colOff>64421</xdr:colOff>
      <xdr:row>499</xdr:row>
      <xdr:rowOff>127001</xdr:rowOff>
    </xdr:to>
    <xdr:pic>
      <xdr:nvPicPr>
        <xdr:cNvPr id="2590" name="Picture 2589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104042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512</xdr:row>
      <xdr:rowOff>1</xdr:rowOff>
    </xdr:from>
    <xdr:to>
      <xdr:col>19</xdr:col>
      <xdr:colOff>64421</xdr:colOff>
      <xdr:row>520</xdr:row>
      <xdr:rowOff>127001</xdr:rowOff>
    </xdr:to>
    <xdr:pic>
      <xdr:nvPicPr>
        <xdr:cNvPr id="2591" name="Picture 2590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151382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533</xdr:row>
      <xdr:rowOff>1</xdr:rowOff>
    </xdr:from>
    <xdr:to>
      <xdr:col>19</xdr:col>
      <xdr:colOff>64421</xdr:colOff>
      <xdr:row>541</xdr:row>
      <xdr:rowOff>127001</xdr:rowOff>
    </xdr:to>
    <xdr:pic>
      <xdr:nvPicPr>
        <xdr:cNvPr id="1024" name="Picture 1023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1987212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554</xdr:row>
      <xdr:rowOff>1</xdr:rowOff>
    </xdr:from>
    <xdr:to>
      <xdr:col>19</xdr:col>
      <xdr:colOff>64421</xdr:colOff>
      <xdr:row>562</xdr:row>
      <xdr:rowOff>127001</xdr:rowOff>
    </xdr:to>
    <xdr:pic>
      <xdr:nvPicPr>
        <xdr:cNvPr id="1027" name="Picture 1026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2460605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575</xdr:row>
      <xdr:rowOff>1</xdr:rowOff>
    </xdr:from>
    <xdr:to>
      <xdr:col>19</xdr:col>
      <xdr:colOff>64421</xdr:colOff>
      <xdr:row>583</xdr:row>
      <xdr:rowOff>127001</xdr:rowOff>
    </xdr:to>
    <xdr:pic>
      <xdr:nvPicPr>
        <xdr:cNvPr id="1028" name="Picture 1027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29339976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596</xdr:row>
      <xdr:rowOff>1</xdr:rowOff>
    </xdr:from>
    <xdr:to>
      <xdr:col>19</xdr:col>
      <xdr:colOff>64421</xdr:colOff>
      <xdr:row>604</xdr:row>
      <xdr:rowOff>127001</xdr:rowOff>
    </xdr:to>
    <xdr:pic>
      <xdr:nvPicPr>
        <xdr:cNvPr id="1029" name="Picture 1028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34073901"/>
          <a:ext cx="1636046" cy="16510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617</xdr:row>
      <xdr:rowOff>1</xdr:rowOff>
    </xdr:from>
    <xdr:to>
      <xdr:col>19</xdr:col>
      <xdr:colOff>64421</xdr:colOff>
      <xdr:row>625</xdr:row>
      <xdr:rowOff>127001</xdr:rowOff>
    </xdr:to>
    <xdr:pic>
      <xdr:nvPicPr>
        <xdr:cNvPr id="1030" name="Picture 1029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400550" y="138807826"/>
          <a:ext cx="1636046" cy="1651000"/>
        </a:xfrm>
        <a:prstGeom prst="rect">
          <a:avLst/>
        </a:prstGeom>
      </xdr:spPr>
    </xdr:pic>
    <xdr:clientData/>
  </xdr:twoCellAnchor>
  <xdr:twoCellAnchor>
    <xdr:from>
      <xdr:col>23</xdr:col>
      <xdr:colOff>111125</xdr:colOff>
      <xdr:row>8</xdr:row>
      <xdr:rowOff>111126</xdr:rowOff>
    </xdr:from>
    <xdr:to>
      <xdr:col>31</xdr:col>
      <xdr:colOff>333375</xdr:colOff>
      <xdr:row>13</xdr:row>
      <xdr:rowOff>47626</xdr:rowOff>
    </xdr:to>
    <xdr:sp macro="" textlink="">
      <xdr:nvSpPr>
        <xdr:cNvPr id="1031" name="TextBox 1030"/>
        <xdr:cNvSpPr txBox="1"/>
      </xdr:nvSpPr>
      <xdr:spPr>
        <a:xfrm>
          <a:off x="8270875" y="2365376"/>
          <a:ext cx="5048250" cy="889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What's</a:t>
          </a:r>
          <a:r>
            <a:rPr lang="en-US" sz="1100" baseline="0"/>
            <a:t> next improvement</a:t>
          </a:r>
        </a:p>
        <a:p>
          <a:r>
            <a:rPr lang="en-US" sz="1100" baseline="0"/>
            <a:t>1.select name for create QR Code and form for print.</a:t>
          </a:r>
        </a:p>
        <a:p>
          <a:r>
            <a:rPr lang="en-US" sz="1100" baseline="0"/>
            <a:t>2.Create GUI for friendly user.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764"/>
  <sheetViews>
    <sheetView tabSelected="1" view="pageBreakPreview" zoomScale="60" zoomScaleNormal="70" workbookViewId="0">
      <selection activeCell="X17" sqref="X17"/>
    </sheetView>
  </sheetViews>
  <sheetFormatPr defaultColWidth="9" defaultRowHeight="15" customHeight="1" x14ac:dyDescent="0.25"/>
  <cols>
    <col min="1" max="20" width="4.7109375" style="8" customWidth="1"/>
    <col min="21" max="16384" width="9" style="8"/>
  </cols>
  <sheetData>
    <row r="1" spans="1:24" ht="27.95" customHeight="1" x14ac:dyDescent="0.25">
      <c r="A1" s="32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4"/>
    </row>
    <row r="2" spans="1:24" ht="60" customHeight="1" x14ac:dyDescent="0.25">
      <c r="A2" s="25"/>
      <c r="B2" s="18" t="s">
        <v>40</v>
      </c>
      <c r="F2" s="18" t="s">
        <v>92</v>
      </c>
      <c r="T2" s="26"/>
    </row>
    <row r="3" spans="1:24" ht="15" customHeight="1" x14ac:dyDescent="0.25">
      <c r="A3" s="33"/>
      <c r="B3" s="19"/>
      <c r="T3" s="26"/>
    </row>
    <row r="4" spans="1:24" ht="15" customHeight="1" x14ac:dyDescent="0.25">
      <c r="A4" s="33"/>
      <c r="B4" s="13" t="s">
        <v>80</v>
      </c>
      <c r="F4" s="20" t="s">
        <v>93</v>
      </c>
      <c r="T4" s="26"/>
      <c r="X4" s="8" t="s">
        <v>201</v>
      </c>
    </row>
    <row r="5" spans="1:24" s="14" customFormat="1" ht="15" customHeight="1" x14ac:dyDescent="0.25">
      <c r="A5" s="12"/>
      <c r="B5" s="10"/>
      <c r="T5" s="28"/>
      <c r="X5" s="14" t="s">
        <v>202</v>
      </c>
    </row>
    <row r="6" spans="1:24" ht="15" customHeight="1" x14ac:dyDescent="0.25">
      <c r="A6" s="33"/>
      <c r="B6" s="13" t="s">
        <v>41</v>
      </c>
      <c r="F6" s="21" t="s">
        <v>81</v>
      </c>
      <c r="T6" s="26"/>
    </row>
    <row r="7" spans="1:24" ht="15" customHeight="1" x14ac:dyDescent="0.25">
      <c r="A7" s="33"/>
      <c r="B7" s="19"/>
      <c r="T7" s="26"/>
    </row>
    <row r="8" spans="1:24" ht="15" customHeight="1" x14ac:dyDescent="0.25">
      <c r="A8" s="25"/>
      <c r="B8" s="18" t="s">
        <v>42</v>
      </c>
      <c r="F8" s="18" t="s">
        <v>94</v>
      </c>
      <c r="T8" s="26"/>
    </row>
    <row r="9" spans="1:24" ht="15" customHeight="1" x14ac:dyDescent="0.25">
      <c r="A9" s="25"/>
      <c r="T9" s="26"/>
    </row>
    <row r="10" spans="1:24" ht="15" customHeight="1" x14ac:dyDescent="0.25">
      <c r="A10" s="25"/>
      <c r="T10" s="26"/>
    </row>
    <row r="11" spans="1:24" ht="15" customHeight="1" x14ac:dyDescent="0.25">
      <c r="A11" s="25"/>
      <c r="T11" s="26"/>
    </row>
    <row r="12" spans="1:24" ht="15" customHeight="1" x14ac:dyDescent="0.3">
      <c r="A12" s="34"/>
      <c r="B12" s="15"/>
      <c r="C12" s="15"/>
      <c r="D12" s="15"/>
      <c r="E12" s="15"/>
      <c r="T12" s="26"/>
    </row>
    <row r="13" spans="1:24" ht="15" customHeight="1" x14ac:dyDescent="0.25">
      <c r="A13" s="35"/>
      <c r="B13" s="16"/>
      <c r="C13" s="16"/>
      <c r="D13" s="16"/>
      <c r="E13" s="16"/>
      <c r="T13" s="26"/>
    </row>
    <row r="14" spans="1:24" s="14" customFormat="1" ht="15" customHeight="1" x14ac:dyDescent="0.25">
      <c r="A14" s="36"/>
      <c r="B14" s="17"/>
      <c r="C14" s="17"/>
      <c r="D14" s="17"/>
      <c r="E14" s="17"/>
      <c r="T14" s="28"/>
    </row>
    <row r="15" spans="1:24" ht="15" customHeight="1" x14ac:dyDescent="0.25">
      <c r="A15" s="35"/>
      <c r="B15" s="16"/>
      <c r="C15" s="16"/>
      <c r="D15" s="16"/>
      <c r="E15" s="16"/>
      <c r="T15" s="26"/>
    </row>
    <row r="16" spans="1:24" ht="15" customHeight="1" x14ac:dyDescent="0.25">
      <c r="A16" s="25"/>
      <c r="T16" s="26"/>
    </row>
    <row r="17" spans="1:20" ht="15" customHeight="1" x14ac:dyDescent="0.25">
      <c r="A17" s="25"/>
      <c r="T17" s="26"/>
    </row>
    <row r="18" spans="1:20" ht="15" customHeight="1" x14ac:dyDescent="0.25">
      <c r="A18" s="25"/>
      <c r="T18" s="26"/>
    </row>
    <row r="19" spans="1:20" ht="15" customHeight="1" x14ac:dyDescent="0.25">
      <c r="A19" s="25"/>
      <c r="T19" s="26"/>
    </row>
    <row r="20" spans="1:20" ht="15" customHeight="1" x14ac:dyDescent="0.25">
      <c r="A20" s="25"/>
      <c r="T20" s="26"/>
    </row>
    <row r="21" spans="1:20" ht="15" customHeight="1" thickBot="1" x14ac:dyDescent="0.3">
      <c r="A21" s="37"/>
      <c r="B21" s="38"/>
      <c r="C21" s="38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1"/>
    </row>
    <row r="22" spans="1:20" ht="27.95" customHeight="1" x14ac:dyDescent="0.25">
      <c r="A22" s="22"/>
      <c r="B22" s="39"/>
      <c r="C22" s="39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4"/>
    </row>
    <row r="23" spans="1:20" ht="60" customHeight="1" x14ac:dyDescent="0.25">
      <c r="A23" s="40"/>
      <c r="B23" s="18" t="s">
        <v>40</v>
      </c>
      <c r="F23" s="18" t="s">
        <v>96</v>
      </c>
      <c r="T23" s="26"/>
    </row>
    <row r="24" spans="1:20" ht="15" customHeight="1" x14ac:dyDescent="0.25">
      <c r="A24" s="25"/>
      <c r="T24" s="26"/>
    </row>
    <row r="25" spans="1:20" ht="15" customHeight="1" x14ac:dyDescent="0.25">
      <c r="A25" s="25"/>
      <c r="B25" s="18" t="s">
        <v>80</v>
      </c>
      <c r="F25" s="20" t="s">
        <v>97</v>
      </c>
      <c r="T25" s="26"/>
    </row>
    <row r="26" spans="1:20" s="14" customFormat="1" ht="15" customHeight="1" x14ac:dyDescent="0.25">
      <c r="A26" s="27"/>
      <c r="T26" s="28"/>
    </row>
    <row r="27" spans="1:20" ht="15" customHeight="1" x14ac:dyDescent="0.25">
      <c r="A27" s="25"/>
      <c r="B27" s="18" t="s">
        <v>41</v>
      </c>
      <c r="F27" s="21" t="s">
        <v>81</v>
      </c>
      <c r="T27" s="26"/>
    </row>
    <row r="28" spans="1:20" ht="15" customHeight="1" x14ac:dyDescent="0.25">
      <c r="A28" s="25"/>
      <c r="T28" s="26"/>
    </row>
    <row r="29" spans="1:20" ht="15" customHeight="1" x14ac:dyDescent="0.25">
      <c r="A29" s="25"/>
      <c r="B29" s="18" t="s">
        <v>42</v>
      </c>
      <c r="F29" s="18" t="s">
        <v>98</v>
      </c>
      <c r="T29" s="26"/>
    </row>
    <row r="30" spans="1:20" ht="15" customHeight="1" x14ac:dyDescent="0.25">
      <c r="A30" s="25"/>
      <c r="T30" s="26"/>
    </row>
    <row r="31" spans="1:20" ht="15" customHeight="1" x14ac:dyDescent="0.25">
      <c r="A31" s="25"/>
      <c r="T31" s="26"/>
    </row>
    <row r="32" spans="1:20" ht="15" customHeight="1" x14ac:dyDescent="0.25">
      <c r="A32" s="25"/>
      <c r="T32" s="26"/>
    </row>
    <row r="33" spans="1:20" ht="15" customHeight="1" x14ac:dyDescent="0.25">
      <c r="A33" s="25"/>
      <c r="T33" s="26"/>
    </row>
    <row r="34" spans="1:20" ht="15" customHeight="1" x14ac:dyDescent="0.25">
      <c r="A34" s="25"/>
      <c r="T34" s="26"/>
    </row>
    <row r="35" spans="1:20" s="14" customFormat="1" ht="15" customHeight="1" x14ac:dyDescent="0.25">
      <c r="A35" s="27"/>
      <c r="T35" s="28"/>
    </row>
    <row r="36" spans="1:20" ht="15" customHeight="1" x14ac:dyDescent="0.25">
      <c r="A36" s="25"/>
      <c r="T36" s="26"/>
    </row>
    <row r="37" spans="1:20" ht="15" customHeight="1" x14ac:dyDescent="0.25">
      <c r="A37" s="25"/>
      <c r="T37" s="26"/>
    </row>
    <row r="38" spans="1:20" ht="15" customHeight="1" x14ac:dyDescent="0.25">
      <c r="A38" s="25"/>
      <c r="T38" s="26"/>
    </row>
    <row r="39" spans="1:20" ht="15" customHeight="1" x14ac:dyDescent="0.25">
      <c r="A39" s="25"/>
      <c r="T39" s="26"/>
    </row>
    <row r="40" spans="1:20" ht="15" customHeight="1" x14ac:dyDescent="0.25">
      <c r="A40" s="25"/>
      <c r="T40" s="26"/>
    </row>
    <row r="41" spans="1:20" ht="15" customHeight="1" x14ac:dyDescent="0.25">
      <c r="A41" s="25"/>
      <c r="T41" s="26"/>
    </row>
    <row r="42" spans="1:20" ht="15" customHeight="1" thickBot="1" x14ac:dyDescent="0.3">
      <c r="A42" s="29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1"/>
    </row>
    <row r="43" spans="1:20" ht="27.95" customHeight="1" x14ac:dyDescent="0.25">
      <c r="B43" s="18"/>
      <c r="F43" s="18"/>
    </row>
    <row r="44" spans="1:20" ht="60" customHeight="1" x14ac:dyDescent="0.25">
      <c r="B44" s="18" t="s">
        <v>40</v>
      </c>
      <c r="F44" s="18" t="s">
        <v>99</v>
      </c>
    </row>
    <row r="45" spans="1:20" ht="15" customHeight="1" x14ac:dyDescent="0.25">
      <c r="B45" s="18"/>
      <c r="F45" s="20"/>
    </row>
    <row r="46" spans="1:20" s="14" customFormat="1" ht="15" customHeight="1" x14ac:dyDescent="0.25">
      <c r="B46" s="18" t="s">
        <v>80</v>
      </c>
      <c r="F46" s="20" t="s">
        <v>100</v>
      </c>
    </row>
    <row r="47" spans="1:20" ht="15" customHeight="1" x14ac:dyDescent="0.25">
      <c r="B47" s="18"/>
      <c r="F47" s="21"/>
    </row>
    <row r="48" spans="1:20" ht="15" customHeight="1" x14ac:dyDescent="0.25">
      <c r="B48" s="18" t="s">
        <v>41</v>
      </c>
      <c r="F48" s="21" t="s">
        <v>81</v>
      </c>
    </row>
    <row r="49" spans="2:6" ht="15" customHeight="1" x14ac:dyDescent="0.25">
      <c r="B49" s="18"/>
      <c r="F49" s="18"/>
    </row>
    <row r="50" spans="2:6" ht="15" customHeight="1" x14ac:dyDescent="0.25">
      <c r="B50" s="18" t="s">
        <v>42</v>
      </c>
      <c r="F50" s="18" t="s">
        <v>98</v>
      </c>
    </row>
    <row r="61" spans="2:6" ht="15" customHeight="1" x14ac:dyDescent="0.25">
      <c r="B61" s="18"/>
      <c r="F61" s="18"/>
    </row>
    <row r="63" spans="2:6" ht="15" customHeight="1" x14ac:dyDescent="0.25">
      <c r="B63" s="18"/>
      <c r="F63" s="20"/>
    </row>
    <row r="64" spans="2:6" ht="27.95" customHeight="1" x14ac:dyDescent="0.25"/>
    <row r="65" spans="2:6" ht="60" customHeight="1" x14ac:dyDescent="0.25">
      <c r="B65" s="18" t="s">
        <v>40</v>
      </c>
      <c r="F65" s="21" t="s">
        <v>101</v>
      </c>
    </row>
    <row r="67" spans="2:6" ht="15" customHeight="1" x14ac:dyDescent="0.25">
      <c r="B67" s="18" t="s">
        <v>80</v>
      </c>
      <c r="F67" s="20" t="s">
        <v>102</v>
      </c>
    </row>
    <row r="69" spans="2:6" ht="15" customHeight="1" x14ac:dyDescent="0.25">
      <c r="B69" s="18" t="s">
        <v>41</v>
      </c>
      <c r="F69" s="21" t="s">
        <v>81</v>
      </c>
    </row>
    <row r="71" spans="2:6" ht="15" customHeight="1" x14ac:dyDescent="0.25">
      <c r="B71" s="18" t="s">
        <v>42</v>
      </c>
      <c r="F71" s="18" t="s">
        <v>98</v>
      </c>
    </row>
    <row r="79" spans="2:6" ht="15" customHeight="1" x14ac:dyDescent="0.25">
      <c r="B79" s="18"/>
      <c r="F79" s="18"/>
    </row>
    <row r="81" spans="2:6" ht="15" customHeight="1" x14ac:dyDescent="0.25">
      <c r="B81" s="18"/>
      <c r="F81" s="20"/>
    </row>
    <row r="83" spans="2:6" ht="15" customHeight="1" x14ac:dyDescent="0.25">
      <c r="B83" s="18"/>
      <c r="F83" s="21"/>
    </row>
    <row r="85" spans="2:6" ht="27.95" customHeight="1" x14ac:dyDescent="0.25">
      <c r="B85" s="18"/>
      <c r="F85" s="18"/>
    </row>
    <row r="86" spans="2:6" ht="60" customHeight="1" x14ac:dyDescent="0.25">
      <c r="B86" s="18" t="s">
        <v>40</v>
      </c>
      <c r="F86" s="18" t="s">
        <v>103</v>
      </c>
    </row>
    <row r="88" spans="2:6" ht="15" customHeight="1" x14ac:dyDescent="0.25">
      <c r="B88" s="18" t="s">
        <v>80</v>
      </c>
      <c r="F88" s="20" t="s">
        <v>104</v>
      </c>
    </row>
    <row r="90" spans="2:6" ht="15" customHeight="1" x14ac:dyDescent="0.25">
      <c r="B90" s="18" t="s">
        <v>41</v>
      </c>
      <c r="F90" s="21" t="s">
        <v>81</v>
      </c>
    </row>
    <row r="92" spans="2:6" ht="15" customHeight="1" x14ac:dyDescent="0.25">
      <c r="B92" s="18" t="s">
        <v>42</v>
      </c>
      <c r="F92" s="18" t="s">
        <v>95</v>
      </c>
    </row>
    <row r="97" spans="2:6" ht="15" customHeight="1" x14ac:dyDescent="0.25">
      <c r="B97" s="18"/>
      <c r="F97" s="18"/>
    </row>
    <row r="99" spans="2:6" ht="15" customHeight="1" x14ac:dyDescent="0.25">
      <c r="B99" s="18"/>
      <c r="F99" s="20"/>
    </row>
    <row r="101" spans="2:6" ht="15" customHeight="1" x14ac:dyDescent="0.25">
      <c r="B101" s="18"/>
      <c r="F101" s="21"/>
    </row>
    <row r="103" spans="2:6" ht="15" customHeight="1" x14ac:dyDescent="0.25">
      <c r="B103" s="18"/>
      <c r="F103" s="18"/>
    </row>
    <row r="106" spans="2:6" ht="27.95" customHeight="1" x14ac:dyDescent="0.25"/>
    <row r="107" spans="2:6" ht="60" customHeight="1" x14ac:dyDescent="0.25">
      <c r="B107" s="18" t="s">
        <v>40</v>
      </c>
      <c r="F107" s="18" t="s">
        <v>105</v>
      </c>
    </row>
    <row r="109" spans="2:6" ht="15" customHeight="1" x14ac:dyDescent="0.25">
      <c r="B109" s="18" t="s">
        <v>80</v>
      </c>
      <c r="F109" s="20" t="s">
        <v>106</v>
      </c>
    </row>
    <row r="111" spans="2:6" ht="15" customHeight="1" x14ac:dyDescent="0.25">
      <c r="B111" s="18" t="s">
        <v>41</v>
      </c>
      <c r="F111" s="21" t="s">
        <v>81</v>
      </c>
    </row>
    <row r="113" spans="2:6" ht="15" customHeight="1" x14ac:dyDescent="0.25">
      <c r="B113" s="18" t="s">
        <v>42</v>
      </c>
      <c r="F113" s="18" t="s">
        <v>98</v>
      </c>
    </row>
    <row r="115" spans="2:6" ht="15" customHeight="1" x14ac:dyDescent="0.25">
      <c r="B115" s="18"/>
      <c r="F115" s="18"/>
    </row>
    <row r="117" spans="2:6" ht="15" customHeight="1" x14ac:dyDescent="0.25">
      <c r="B117" s="18"/>
      <c r="F117" s="20"/>
    </row>
    <row r="119" spans="2:6" ht="15" customHeight="1" x14ac:dyDescent="0.25">
      <c r="B119" s="18"/>
      <c r="F119" s="21"/>
    </row>
    <row r="121" spans="2:6" ht="15" customHeight="1" x14ac:dyDescent="0.25">
      <c r="B121" s="18"/>
      <c r="F121" s="18"/>
    </row>
    <row r="127" spans="2:6" ht="27.95" customHeight="1" x14ac:dyDescent="0.25"/>
    <row r="128" spans="2:6" ht="60" customHeight="1" x14ac:dyDescent="0.25">
      <c r="B128" s="18" t="s">
        <v>40</v>
      </c>
      <c r="F128" s="18" t="s">
        <v>107</v>
      </c>
    </row>
    <row r="130" spans="2:6" ht="15" customHeight="1" x14ac:dyDescent="0.25">
      <c r="B130" s="18" t="s">
        <v>80</v>
      </c>
      <c r="F130" s="20" t="s">
        <v>108</v>
      </c>
    </row>
    <row r="132" spans="2:6" ht="15" customHeight="1" x14ac:dyDescent="0.25">
      <c r="B132" s="18" t="s">
        <v>41</v>
      </c>
      <c r="F132" s="21" t="s">
        <v>81</v>
      </c>
    </row>
    <row r="133" spans="2:6" ht="15" customHeight="1" x14ac:dyDescent="0.25">
      <c r="B133" s="18"/>
      <c r="F133" s="18"/>
    </row>
    <row r="134" spans="2:6" ht="15" customHeight="1" x14ac:dyDescent="0.25">
      <c r="B134" s="18" t="s">
        <v>42</v>
      </c>
      <c r="F134" s="18" t="s">
        <v>98</v>
      </c>
    </row>
    <row r="135" spans="2:6" ht="15" customHeight="1" x14ac:dyDescent="0.25">
      <c r="B135" s="18"/>
      <c r="F135" s="20"/>
    </row>
    <row r="137" spans="2:6" ht="15" customHeight="1" x14ac:dyDescent="0.25">
      <c r="B137" s="18"/>
      <c r="F137" s="21"/>
    </row>
    <row r="139" spans="2:6" ht="15" customHeight="1" x14ac:dyDescent="0.25">
      <c r="B139" s="18"/>
      <c r="F139" s="18"/>
    </row>
    <row r="148" spans="2:6" ht="27.95" customHeight="1" x14ac:dyDescent="0.25"/>
    <row r="149" spans="2:6" ht="60" customHeight="1" x14ac:dyDescent="0.25">
      <c r="B149" s="18" t="s">
        <v>40</v>
      </c>
      <c r="F149" s="18" t="s">
        <v>109</v>
      </c>
    </row>
    <row r="151" spans="2:6" ht="15" customHeight="1" x14ac:dyDescent="0.25">
      <c r="B151" s="18" t="s">
        <v>80</v>
      </c>
      <c r="F151" s="20" t="s">
        <v>110</v>
      </c>
    </row>
    <row r="153" spans="2:6" ht="15" customHeight="1" x14ac:dyDescent="0.25">
      <c r="B153" s="18" t="s">
        <v>41</v>
      </c>
      <c r="F153" s="21" t="s">
        <v>81</v>
      </c>
    </row>
    <row r="155" spans="2:6" ht="15" customHeight="1" x14ac:dyDescent="0.25">
      <c r="B155" s="18" t="s">
        <v>42</v>
      </c>
      <c r="F155" s="21" t="s">
        <v>98</v>
      </c>
    </row>
    <row r="157" spans="2:6" ht="15" customHeight="1" x14ac:dyDescent="0.25">
      <c r="B157" s="18"/>
      <c r="F157" s="18"/>
    </row>
    <row r="169" spans="2:6" ht="27.95" customHeight="1" x14ac:dyDescent="0.25">
      <c r="B169" s="18"/>
      <c r="F169" s="18"/>
    </row>
    <row r="170" spans="2:6" ht="60" customHeight="1" x14ac:dyDescent="0.25">
      <c r="B170" s="18" t="s">
        <v>40</v>
      </c>
      <c r="F170" s="18" t="s">
        <v>12</v>
      </c>
    </row>
    <row r="171" spans="2:6" ht="15" customHeight="1" x14ac:dyDescent="0.25">
      <c r="B171" s="18"/>
      <c r="F171" s="20"/>
    </row>
    <row r="172" spans="2:6" ht="15" customHeight="1" x14ac:dyDescent="0.25">
      <c r="B172" s="18" t="s">
        <v>80</v>
      </c>
      <c r="F172" s="20" t="s">
        <v>13</v>
      </c>
    </row>
    <row r="173" spans="2:6" ht="15" customHeight="1" x14ac:dyDescent="0.25">
      <c r="B173" s="18"/>
      <c r="F173" s="21"/>
    </row>
    <row r="174" spans="2:6" ht="15" customHeight="1" x14ac:dyDescent="0.25">
      <c r="B174" s="18" t="s">
        <v>41</v>
      </c>
      <c r="F174" s="21" t="s">
        <v>81</v>
      </c>
    </row>
    <row r="175" spans="2:6" ht="15" customHeight="1" x14ac:dyDescent="0.25">
      <c r="B175" s="18"/>
      <c r="F175" s="18"/>
    </row>
    <row r="176" spans="2:6" ht="15" customHeight="1" x14ac:dyDescent="0.25">
      <c r="B176" s="18" t="s">
        <v>42</v>
      </c>
      <c r="F176" s="18" t="s">
        <v>95</v>
      </c>
    </row>
    <row r="187" spans="2:6" ht="15" customHeight="1" x14ac:dyDescent="0.25">
      <c r="B187" s="18"/>
      <c r="F187" s="18"/>
    </row>
    <row r="189" spans="2:6" ht="15" customHeight="1" x14ac:dyDescent="0.25">
      <c r="B189" s="18"/>
      <c r="F189" s="20"/>
    </row>
    <row r="190" spans="2:6" ht="27.95" customHeight="1" x14ac:dyDescent="0.25"/>
    <row r="191" spans="2:6" ht="60" customHeight="1" x14ac:dyDescent="0.25">
      <c r="B191" s="18" t="s">
        <v>40</v>
      </c>
      <c r="F191" s="21" t="s">
        <v>6</v>
      </c>
    </row>
    <row r="193" spans="2:6" ht="15" customHeight="1" x14ac:dyDescent="0.25">
      <c r="B193" s="18" t="s">
        <v>80</v>
      </c>
      <c r="F193" s="20" t="s">
        <v>7</v>
      </c>
    </row>
    <row r="195" spans="2:6" ht="15" customHeight="1" x14ac:dyDescent="0.25">
      <c r="B195" s="18" t="s">
        <v>41</v>
      </c>
      <c r="F195" s="21" t="s">
        <v>81</v>
      </c>
    </row>
    <row r="197" spans="2:6" ht="15" customHeight="1" x14ac:dyDescent="0.25">
      <c r="B197" s="18" t="s">
        <v>42</v>
      </c>
      <c r="F197" s="18" t="s">
        <v>95</v>
      </c>
    </row>
    <row r="205" spans="2:6" ht="15" customHeight="1" x14ac:dyDescent="0.25">
      <c r="B205" s="18"/>
      <c r="F205" s="18"/>
    </row>
    <row r="207" spans="2:6" ht="15" customHeight="1" x14ac:dyDescent="0.25">
      <c r="B207" s="18"/>
      <c r="F207" s="20"/>
    </row>
    <row r="209" spans="2:6" ht="15" customHeight="1" x14ac:dyDescent="0.25">
      <c r="B209" s="18"/>
      <c r="F209" s="21"/>
    </row>
    <row r="211" spans="2:6" ht="27.95" customHeight="1" x14ac:dyDescent="0.25">
      <c r="B211" s="18"/>
      <c r="F211" s="18"/>
    </row>
    <row r="212" spans="2:6" ht="60" customHeight="1" x14ac:dyDescent="0.25">
      <c r="B212" s="18" t="s">
        <v>40</v>
      </c>
      <c r="F212" s="18" t="s">
        <v>14</v>
      </c>
    </row>
    <row r="214" spans="2:6" ht="15" customHeight="1" x14ac:dyDescent="0.25">
      <c r="B214" s="18" t="s">
        <v>80</v>
      </c>
      <c r="F214" s="20" t="s">
        <v>15</v>
      </c>
    </row>
    <row r="216" spans="2:6" ht="15" customHeight="1" x14ac:dyDescent="0.25">
      <c r="B216" s="18" t="s">
        <v>41</v>
      </c>
      <c r="F216" s="21" t="s">
        <v>200</v>
      </c>
    </row>
    <row r="218" spans="2:6" ht="15" customHeight="1" x14ac:dyDescent="0.25">
      <c r="B218" s="18" t="s">
        <v>42</v>
      </c>
      <c r="F218" s="18" t="s">
        <v>95</v>
      </c>
    </row>
    <row r="223" spans="2:6" ht="15" customHeight="1" x14ac:dyDescent="0.25">
      <c r="B223" s="18"/>
      <c r="F223" s="18"/>
    </row>
    <row r="225" spans="2:6" ht="15" customHeight="1" x14ac:dyDescent="0.25">
      <c r="B225" s="18"/>
      <c r="F225" s="20"/>
    </row>
    <row r="227" spans="2:6" ht="15" customHeight="1" x14ac:dyDescent="0.25">
      <c r="B227" s="18"/>
      <c r="F227" s="21"/>
    </row>
    <row r="229" spans="2:6" ht="15" customHeight="1" x14ac:dyDescent="0.25">
      <c r="B229" s="18"/>
      <c r="F229" s="18"/>
    </row>
    <row r="232" spans="2:6" ht="27.95" customHeight="1" x14ac:dyDescent="0.25"/>
    <row r="233" spans="2:6" ht="60" customHeight="1" x14ac:dyDescent="0.25">
      <c r="B233" s="18" t="s">
        <v>40</v>
      </c>
      <c r="F233" s="18" t="s">
        <v>30</v>
      </c>
    </row>
    <row r="235" spans="2:6" ht="15" customHeight="1" x14ac:dyDescent="0.25">
      <c r="B235" s="18" t="s">
        <v>80</v>
      </c>
      <c r="F235" s="20" t="s">
        <v>31</v>
      </c>
    </row>
    <row r="237" spans="2:6" ht="15" customHeight="1" x14ac:dyDescent="0.25">
      <c r="B237" s="18" t="s">
        <v>41</v>
      </c>
      <c r="F237" s="21" t="s">
        <v>81</v>
      </c>
    </row>
    <row r="239" spans="2:6" ht="15" customHeight="1" x14ac:dyDescent="0.25">
      <c r="B239" s="18" t="s">
        <v>42</v>
      </c>
      <c r="F239" s="18" t="s">
        <v>95</v>
      </c>
    </row>
    <row r="241" spans="2:6" ht="15" customHeight="1" x14ac:dyDescent="0.25">
      <c r="B241" s="18"/>
      <c r="F241" s="18"/>
    </row>
    <row r="243" spans="2:6" ht="15" customHeight="1" x14ac:dyDescent="0.25">
      <c r="B243" s="18"/>
      <c r="F243" s="20"/>
    </row>
    <row r="245" spans="2:6" ht="15" customHeight="1" x14ac:dyDescent="0.25">
      <c r="B245" s="18"/>
      <c r="F245" s="21"/>
    </row>
    <row r="247" spans="2:6" ht="15" customHeight="1" x14ac:dyDescent="0.25">
      <c r="B247" s="18"/>
      <c r="F247" s="18"/>
    </row>
    <row r="253" spans="2:6" ht="27.95" customHeight="1" x14ac:dyDescent="0.25"/>
    <row r="254" spans="2:6" ht="60" customHeight="1" x14ac:dyDescent="0.25">
      <c r="B254" s="18" t="s">
        <v>40</v>
      </c>
      <c r="F254" s="18" t="s">
        <v>111</v>
      </c>
    </row>
    <row r="256" spans="2:6" ht="15" customHeight="1" x14ac:dyDescent="0.25">
      <c r="B256" s="18" t="s">
        <v>80</v>
      </c>
      <c r="F256" s="20" t="s">
        <v>112</v>
      </c>
    </row>
    <row r="258" spans="2:6" ht="15" customHeight="1" x14ac:dyDescent="0.25">
      <c r="B258" s="18" t="s">
        <v>41</v>
      </c>
      <c r="F258" s="21" t="s">
        <v>81</v>
      </c>
    </row>
    <row r="259" spans="2:6" ht="15" customHeight="1" x14ac:dyDescent="0.25">
      <c r="B259" s="18"/>
      <c r="F259" s="18"/>
    </row>
    <row r="260" spans="2:6" ht="15" customHeight="1" x14ac:dyDescent="0.25">
      <c r="B260" s="18" t="s">
        <v>42</v>
      </c>
      <c r="F260" s="18" t="s">
        <v>98</v>
      </c>
    </row>
    <row r="261" spans="2:6" ht="15" customHeight="1" x14ac:dyDescent="0.25">
      <c r="B261" s="18"/>
      <c r="F261" s="20"/>
    </row>
    <row r="263" spans="2:6" ht="15" customHeight="1" x14ac:dyDescent="0.25">
      <c r="B263" s="18"/>
      <c r="F263" s="21"/>
    </row>
    <row r="265" spans="2:6" ht="15" customHeight="1" x14ac:dyDescent="0.25">
      <c r="B265" s="18"/>
      <c r="F265" s="18"/>
    </row>
    <row r="274" spans="2:6" ht="27.95" customHeight="1" x14ac:dyDescent="0.25"/>
    <row r="275" spans="2:6" ht="60" customHeight="1" x14ac:dyDescent="0.25">
      <c r="B275" s="18" t="s">
        <v>40</v>
      </c>
      <c r="F275" s="18" t="s">
        <v>113</v>
      </c>
    </row>
    <row r="277" spans="2:6" ht="15" customHeight="1" x14ac:dyDescent="0.25">
      <c r="B277" s="18" t="s">
        <v>80</v>
      </c>
      <c r="F277" s="20" t="s">
        <v>114</v>
      </c>
    </row>
    <row r="279" spans="2:6" ht="15" customHeight="1" x14ac:dyDescent="0.25">
      <c r="B279" s="18" t="s">
        <v>41</v>
      </c>
      <c r="F279" s="21" t="s">
        <v>81</v>
      </c>
    </row>
    <row r="281" spans="2:6" ht="15" customHeight="1" x14ac:dyDescent="0.25">
      <c r="B281" s="18" t="s">
        <v>42</v>
      </c>
      <c r="F281" s="21" t="s">
        <v>98</v>
      </c>
    </row>
    <row r="283" spans="2:6" ht="15" customHeight="1" x14ac:dyDescent="0.25">
      <c r="B283" s="18"/>
      <c r="F283" s="18"/>
    </row>
    <row r="295" spans="2:6" ht="27.95" customHeight="1" x14ac:dyDescent="0.25">
      <c r="B295" s="18"/>
      <c r="F295" s="18"/>
    </row>
    <row r="296" spans="2:6" ht="60" customHeight="1" x14ac:dyDescent="0.25">
      <c r="B296" s="18" t="s">
        <v>40</v>
      </c>
      <c r="F296" s="18" t="s">
        <v>2</v>
      </c>
    </row>
    <row r="297" spans="2:6" ht="15" customHeight="1" x14ac:dyDescent="0.25">
      <c r="B297" s="18"/>
      <c r="F297" s="20"/>
    </row>
    <row r="298" spans="2:6" ht="15" customHeight="1" x14ac:dyDescent="0.25">
      <c r="B298" s="18" t="s">
        <v>80</v>
      </c>
      <c r="F298" s="20" t="s">
        <v>3</v>
      </c>
    </row>
    <row r="299" spans="2:6" ht="15" customHeight="1" x14ac:dyDescent="0.25">
      <c r="B299" s="18"/>
      <c r="F299" s="21"/>
    </row>
    <row r="300" spans="2:6" ht="15" customHeight="1" x14ac:dyDescent="0.25">
      <c r="B300" s="18" t="s">
        <v>41</v>
      </c>
      <c r="F300" s="21" t="s">
        <v>81</v>
      </c>
    </row>
    <row r="301" spans="2:6" ht="15" customHeight="1" x14ac:dyDescent="0.25">
      <c r="B301" s="18"/>
      <c r="F301" s="18"/>
    </row>
    <row r="302" spans="2:6" ht="15" customHeight="1" x14ac:dyDescent="0.25">
      <c r="B302" s="18" t="s">
        <v>42</v>
      </c>
      <c r="F302" s="18" t="s">
        <v>95</v>
      </c>
    </row>
    <row r="313" spans="2:6" ht="15" customHeight="1" x14ac:dyDescent="0.25">
      <c r="B313" s="18"/>
      <c r="F313" s="18"/>
    </row>
    <row r="315" spans="2:6" ht="15" customHeight="1" x14ac:dyDescent="0.25">
      <c r="B315" s="18"/>
      <c r="F315" s="20"/>
    </row>
    <row r="316" spans="2:6" ht="27.95" customHeight="1" x14ac:dyDescent="0.25"/>
    <row r="317" spans="2:6" ht="60" customHeight="1" x14ac:dyDescent="0.25">
      <c r="B317" s="18" t="s">
        <v>40</v>
      </c>
      <c r="F317" s="21" t="s">
        <v>38</v>
      </c>
    </row>
    <row r="319" spans="2:6" ht="15" customHeight="1" x14ac:dyDescent="0.25">
      <c r="B319" s="18" t="s">
        <v>80</v>
      </c>
      <c r="F319" s="20" t="s">
        <v>39</v>
      </c>
    </row>
    <row r="321" spans="2:6" ht="15" customHeight="1" x14ac:dyDescent="0.25">
      <c r="B321" s="18" t="s">
        <v>41</v>
      </c>
      <c r="F321" s="21" t="s">
        <v>81</v>
      </c>
    </row>
    <row r="323" spans="2:6" ht="15" customHeight="1" x14ac:dyDescent="0.25">
      <c r="B323" s="18" t="s">
        <v>42</v>
      </c>
      <c r="F323" s="18" t="s">
        <v>95</v>
      </c>
    </row>
    <row r="331" spans="2:6" ht="15" customHeight="1" x14ac:dyDescent="0.25">
      <c r="B331" s="18"/>
      <c r="F331" s="18"/>
    </row>
    <row r="333" spans="2:6" ht="15" customHeight="1" x14ac:dyDescent="0.25">
      <c r="B333" s="18"/>
      <c r="F333" s="20"/>
    </row>
    <row r="335" spans="2:6" ht="15" customHeight="1" x14ac:dyDescent="0.25">
      <c r="B335" s="18"/>
      <c r="F335" s="21"/>
    </row>
    <row r="337" spans="2:6" ht="27.95" customHeight="1" x14ac:dyDescent="0.25">
      <c r="B337" s="18"/>
      <c r="F337" s="18"/>
    </row>
    <row r="338" spans="2:6" ht="60" customHeight="1" x14ac:dyDescent="0.25">
      <c r="B338" s="18" t="s">
        <v>40</v>
      </c>
      <c r="F338" s="18" t="s">
        <v>115</v>
      </c>
    </row>
    <row r="340" spans="2:6" ht="15" customHeight="1" x14ac:dyDescent="0.25">
      <c r="B340" s="18" t="s">
        <v>80</v>
      </c>
      <c r="F340" s="20" t="s">
        <v>116</v>
      </c>
    </row>
    <row r="342" spans="2:6" ht="15" customHeight="1" x14ac:dyDescent="0.25">
      <c r="B342" s="18" t="s">
        <v>41</v>
      </c>
      <c r="F342" s="21" t="s">
        <v>81</v>
      </c>
    </row>
    <row r="344" spans="2:6" ht="15" customHeight="1" x14ac:dyDescent="0.25">
      <c r="B344" s="18" t="s">
        <v>42</v>
      </c>
      <c r="F344" s="18" t="s">
        <v>95</v>
      </c>
    </row>
    <row r="349" spans="2:6" ht="15" customHeight="1" x14ac:dyDescent="0.25">
      <c r="B349" s="18"/>
      <c r="F349" s="18"/>
    </row>
    <row r="351" spans="2:6" ht="15" customHeight="1" x14ac:dyDescent="0.25">
      <c r="B351" s="18"/>
      <c r="F351" s="20"/>
    </row>
    <row r="353" spans="2:6" ht="15" customHeight="1" x14ac:dyDescent="0.25">
      <c r="B353" s="18"/>
      <c r="F353" s="21"/>
    </row>
    <row r="355" spans="2:6" ht="15" customHeight="1" x14ac:dyDescent="0.25">
      <c r="B355" s="18"/>
      <c r="F355" s="18"/>
    </row>
    <row r="358" spans="2:6" ht="27.95" customHeight="1" x14ac:dyDescent="0.25"/>
    <row r="359" spans="2:6" ht="60" customHeight="1" x14ac:dyDescent="0.25">
      <c r="B359" s="18" t="s">
        <v>40</v>
      </c>
      <c r="F359" s="18" t="s">
        <v>117</v>
      </c>
    </row>
    <row r="361" spans="2:6" ht="15" customHeight="1" x14ac:dyDescent="0.25">
      <c r="B361" s="18" t="s">
        <v>80</v>
      </c>
      <c r="F361" s="20" t="s">
        <v>118</v>
      </c>
    </row>
    <row r="363" spans="2:6" ht="15" customHeight="1" x14ac:dyDescent="0.25">
      <c r="B363" s="18" t="s">
        <v>41</v>
      </c>
      <c r="F363" s="21" t="s">
        <v>81</v>
      </c>
    </row>
    <row r="365" spans="2:6" ht="15" customHeight="1" x14ac:dyDescent="0.25">
      <c r="B365" s="18" t="s">
        <v>42</v>
      </c>
      <c r="F365" s="18" t="s">
        <v>95</v>
      </c>
    </row>
    <row r="367" spans="2:6" ht="15" customHeight="1" x14ac:dyDescent="0.25">
      <c r="B367" s="18"/>
      <c r="F367" s="18"/>
    </row>
    <row r="369" spans="2:6" ht="15" customHeight="1" x14ac:dyDescent="0.25">
      <c r="B369" s="18"/>
      <c r="F369" s="20"/>
    </row>
    <row r="371" spans="2:6" ht="15" customHeight="1" x14ac:dyDescent="0.25">
      <c r="B371" s="18"/>
      <c r="F371" s="21"/>
    </row>
    <row r="373" spans="2:6" ht="15" customHeight="1" x14ac:dyDescent="0.25">
      <c r="B373" s="18"/>
      <c r="F373" s="18"/>
    </row>
    <row r="379" spans="2:6" ht="27.95" customHeight="1" x14ac:dyDescent="0.25"/>
    <row r="380" spans="2:6" ht="60" customHeight="1" x14ac:dyDescent="0.25">
      <c r="B380" s="18" t="s">
        <v>40</v>
      </c>
      <c r="F380" s="18" t="s">
        <v>117</v>
      </c>
    </row>
    <row r="382" spans="2:6" ht="15" customHeight="1" x14ac:dyDescent="0.25">
      <c r="B382" s="18" t="s">
        <v>80</v>
      </c>
      <c r="F382" s="20" t="s">
        <v>118</v>
      </c>
    </row>
    <row r="384" spans="2:6" ht="15" customHeight="1" x14ac:dyDescent="0.25">
      <c r="B384" s="18" t="s">
        <v>41</v>
      </c>
      <c r="F384" s="21" t="s">
        <v>81</v>
      </c>
    </row>
    <row r="385" spans="2:6" ht="15" customHeight="1" x14ac:dyDescent="0.25">
      <c r="B385" s="18"/>
      <c r="F385" s="18"/>
    </row>
    <row r="386" spans="2:6" ht="15" customHeight="1" x14ac:dyDescent="0.25">
      <c r="B386" s="18" t="s">
        <v>42</v>
      </c>
      <c r="F386" s="18" t="s">
        <v>98</v>
      </c>
    </row>
    <row r="387" spans="2:6" ht="15" customHeight="1" x14ac:dyDescent="0.25">
      <c r="B387" s="18"/>
      <c r="F387" s="20"/>
    </row>
    <row r="389" spans="2:6" ht="15" customHeight="1" x14ac:dyDescent="0.25">
      <c r="B389" s="18"/>
      <c r="F389" s="21"/>
    </row>
    <row r="391" spans="2:6" ht="15" customHeight="1" x14ac:dyDescent="0.25">
      <c r="B391" s="18"/>
      <c r="F391" s="18"/>
    </row>
    <row r="400" spans="2:6" ht="27.95" customHeight="1" x14ac:dyDescent="0.25"/>
    <row r="401" spans="2:6" ht="60" customHeight="1" x14ac:dyDescent="0.25">
      <c r="B401" s="18" t="s">
        <v>40</v>
      </c>
      <c r="F401" s="18" t="s">
        <v>119</v>
      </c>
    </row>
    <row r="403" spans="2:6" ht="15" customHeight="1" x14ac:dyDescent="0.25">
      <c r="B403" s="18" t="s">
        <v>80</v>
      </c>
      <c r="F403" s="20" t="s">
        <v>120</v>
      </c>
    </row>
    <row r="405" spans="2:6" ht="15" customHeight="1" x14ac:dyDescent="0.25">
      <c r="B405" s="18" t="s">
        <v>41</v>
      </c>
      <c r="F405" s="21" t="s">
        <v>81</v>
      </c>
    </row>
    <row r="407" spans="2:6" ht="15" customHeight="1" x14ac:dyDescent="0.25">
      <c r="B407" s="18" t="s">
        <v>42</v>
      </c>
      <c r="F407" s="21" t="s">
        <v>95</v>
      </c>
    </row>
    <row r="409" spans="2:6" ht="15" customHeight="1" x14ac:dyDescent="0.25">
      <c r="B409" s="18"/>
      <c r="F409" s="18"/>
    </row>
    <row r="421" spans="2:6" ht="27.95" customHeight="1" x14ac:dyDescent="0.25">
      <c r="B421" s="18"/>
      <c r="F421" s="18"/>
    </row>
    <row r="422" spans="2:6" ht="60" customHeight="1" x14ac:dyDescent="0.25">
      <c r="B422" s="18" t="s">
        <v>40</v>
      </c>
      <c r="F422" s="18" t="s">
        <v>121</v>
      </c>
    </row>
    <row r="423" spans="2:6" ht="15" customHeight="1" x14ac:dyDescent="0.25">
      <c r="B423" s="18"/>
      <c r="F423" s="20"/>
    </row>
    <row r="424" spans="2:6" ht="15" customHeight="1" x14ac:dyDescent="0.25">
      <c r="B424" s="18" t="s">
        <v>80</v>
      </c>
      <c r="F424" s="20" t="s">
        <v>122</v>
      </c>
    </row>
    <row r="425" spans="2:6" ht="15" customHeight="1" x14ac:dyDescent="0.25">
      <c r="B425" s="18"/>
      <c r="F425" s="21"/>
    </row>
    <row r="426" spans="2:6" ht="15" customHeight="1" x14ac:dyDescent="0.25">
      <c r="B426" s="18" t="s">
        <v>41</v>
      </c>
      <c r="F426" s="21" t="s">
        <v>81</v>
      </c>
    </row>
    <row r="427" spans="2:6" ht="15" customHeight="1" x14ac:dyDescent="0.25">
      <c r="B427" s="18"/>
      <c r="F427" s="18"/>
    </row>
    <row r="428" spans="2:6" ht="15" customHeight="1" x14ac:dyDescent="0.25">
      <c r="B428" s="18" t="s">
        <v>42</v>
      </c>
      <c r="F428" s="18" t="s">
        <v>95</v>
      </c>
    </row>
    <row r="439" spans="2:6" ht="15" customHeight="1" x14ac:dyDescent="0.25">
      <c r="B439" s="18"/>
      <c r="F439" s="18"/>
    </row>
    <row r="441" spans="2:6" ht="15" customHeight="1" x14ac:dyDescent="0.25">
      <c r="B441" s="18"/>
      <c r="F441" s="20"/>
    </row>
    <row r="442" spans="2:6" ht="27.95" customHeight="1" x14ac:dyDescent="0.25"/>
    <row r="443" spans="2:6" ht="60" customHeight="1" x14ac:dyDescent="0.25">
      <c r="B443" s="18" t="s">
        <v>40</v>
      </c>
      <c r="F443" s="21" t="s">
        <v>123</v>
      </c>
    </row>
    <row r="445" spans="2:6" ht="15" customHeight="1" x14ac:dyDescent="0.25">
      <c r="B445" s="18" t="s">
        <v>80</v>
      </c>
      <c r="F445" s="20" t="s">
        <v>124</v>
      </c>
    </row>
    <row r="447" spans="2:6" ht="15" customHeight="1" x14ac:dyDescent="0.25">
      <c r="B447" s="18" t="s">
        <v>41</v>
      </c>
      <c r="F447" s="21" t="s">
        <v>81</v>
      </c>
    </row>
    <row r="449" spans="2:6" ht="15" customHeight="1" x14ac:dyDescent="0.25">
      <c r="B449" s="18" t="s">
        <v>42</v>
      </c>
      <c r="F449" s="18" t="s">
        <v>95</v>
      </c>
    </row>
    <row r="457" spans="2:6" ht="15" customHeight="1" x14ac:dyDescent="0.25">
      <c r="B457" s="18"/>
      <c r="F457" s="18"/>
    </row>
    <row r="459" spans="2:6" ht="15" customHeight="1" x14ac:dyDescent="0.25">
      <c r="B459" s="18"/>
      <c r="F459" s="20"/>
    </row>
    <row r="461" spans="2:6" ht="15" customHeight="1" x14ac:dyDescent="0.25">
      <c r="B461" s="18"/>
      <c r="F461" s="21"/>
    </row>
    <row r="463" spans="2:6" ht="27.95" customHeight="1" x14ac:dyDescent="0.25">
      <c r="B463" s="18"/>
      <c r="F463" s="18"/>
    </row>
    <row r="464" spans="2:6" ht="60" customHeight="1" x14ac:dyDescent="0.25">
      <c r="B464" s="18" t="s">
        <v>40</v>
      </c>
      <c r="F464" s="18" t="s">
        <v>125</v>
      </c>
    </row>
    <row r="466" spans="2:6" ht="15" customHeight="1" x14ac:dyDescent="0.25">
      <c r="B466" s="18" t="s">
        <v>80</v>
      </c>
      <c r="F466" s="20" t="s">
        <v>126</v>
      </c>
    </row>
    <row r="468" spans="2:6" ht="15" customHeight="1" x14ac:dyDescent="0.25">
      <c r="B468" s="18" t="s">
        <v>41</v>
      </c>
      <c r="F468" s="21" t="s">
        <v>81</v>
      </c>
    </row>
    <row r="470" spans="2:6" ht="15" customHeight="1" x14ac:dyDescent="0.25">
      <c r="B470" s="18" t="s">
        <v>42</v>
      </c>
      <c r="F470" s="18" t="s">
        <v>95</v>
      </c>
    </row>
    <row r="475" spans="2:6" ht="15" customHeight="1" x14ac:dyDescent="0.25">
      <c r="B475" s="18"/>
      <c r="F475" s="18"/>
    </row>
    <row r="477" spans="2:6" ht="15" customHeight="1" x14ac:dyDescent="0.25">
      <c r="B477" s="18"/>
      <c r="F477" s="20"/>
    </row>
    <row r="479" spans="2:6" ht="15" customHeight="1" x14ac:dyDescent="0.25">
      <c r="B479" s="18"/>
      <c r="F479" s="21"/>
    </row>
    <row r="481" spans="2:6" ht="15" customHeight="1" x14ac:dyDescent="0.25">
      <c r="B481" s="18"/>
      <c r="F481" s="18"/>
    </row>
    <row r="484" spans="2:6" ht="27.95" customHeight="1" x14ac:dyDescent="0.25"/>
    <row r="485" spans="2:6" ht="60" customHeight="1" x14ac:dyDescent="0.25">
      <c r="B485" s="18" t="s">
        <v>40</v>
      </c>
      <c r="F485" s="18" t="s">
        <v>127</v>
      </c>
    </row>
    <row r="487" spans="2:6" ht="15" customHeight="1" x14ac:dyDescent="0.25">
      <c r="B487" s="18" t="s">
        <v>80</v>
      </c>
      <c r="F487" s="20" t="s">
        <v>128</v>
      </c>
    </row>
    <row r="489" spans="2:6" ht="15" customHeight="1" x14ac:dyDescent="0.25">
      <c r="B489" s="18" t="s">
        <v>41</v>
      </c>
      <c r="F489" s="21" t="s">
        <v>81</v>
      </c>
    </row>
    <row r="491" spans="2:6" ht="15" customHeight="1" x14ac:dyDescent="0.25">
      <c r="B491" s="18" t="s">
        <v>42</v>
      </c>
      <c r="F491" s="18" t="s">
        <v>98</v>
      </c>
    </row>
    <row r="493" spans="2:6" ht="15" customHeight="1" x14ac:dyDescent="0.25">
      <c r="B493" s="18"/>
      <c r="F493" s="18"/>
    </row>
    <row r="495" spans="2:6" ht="15" customHeight="1" x14ac:dyDescent="0.25">
      <c r="B495" s="18"/>
      <c r="F495" s="20"/>
    </row>
    <row r="497" spans="2:6" ht="15" customHeight="1" x14ac:dyDescent="0.25">
      <c r="B497" s="18"/>
      <c r="F497" s="21"/>
    </row>
    <row r="499" spans="2:6" ht="15" customHeight="1" x14ac:dyDescent="0.25">
      <c r="B499" s="18"/>
      <c r="F499" s="18"/>
    </row>
    <row r="505" spans="2:6" ht="27.95" customHeight="1" x14ac:dyDescent="0.25"/>
    <row r="506" spans="2:6" ht="60" customHeight="1" x14ac:dyDescent="0.25">
      <c r="B506" s="18" t="s">
        <v>40</v>
      </c>
      <c r="F506" s="18" t="s">
        <v>129</v>
      </c>
    </row>
    <row r="508" spans="2:6" ht="15" customHeight="1" x14ac:dyDescent="0.25">
      <c r="B508" s="18" t="s">
        <v>80</v>
      </c>
      <c r="F508" s="20" t="s">
        <v>130</v>
      </c>
    </row>
    <row r="510" spans="2:6" ht="15" customHeight="1" x14ac:dyDescent="0.25">
      <c r="B510" s="18" t="s">
        <v>41</v>
      </c>
      <c r="F510" s="21" t="s">
        <v>81</v>
      </c>
    </row>
    <row r="511" spans="2:6" ht="15" customHeight="1" x14ac:dyDescent="0.25">
      <c r="B511" s="18"/>
      <c r="F511" s="18"/>
    </row>
    <row r="512" spans="2:6" ht="15" customHeight="1" x14ac:dyDescent="0.25">
      <c r="B512" s="18" t="s">
        <v>42</v>
      </c>
      <c r="F512" s="18" t="s">
        <v>98</v>
      </c>
    </row>
    <row r="513" spans="2:6" ht="15" customHeight="1" x14ac:dyDescent="0.25">
      <c r="B513" s="18"/>
      <c r="F513" s="20"/>
    </row>
    <row r="515" spans="2:6" ht="15" customHeight="1" x14ac:dyDescent="0.25">
      <c r="B515" s="18"/>
      <c r="F515" s="21"/>
    </row>
    <row r="517" spans="2:6" ht="15" customHeight="1" x14ac:dyDescent="0.25">
      <c r="B517" s="18"/>
      <c r="F517" s="18"/>
    </row>
    <row r="526" spans="2:6" ht="27.95" customHeight="1" x14ac:dyDescent="0.25"/>
    <row r="527" spans="2:6" ht="60" customHeight="1" x14ac:dyDescent="0.25">
      <c r="B527" s="18" t="s">
        <v>40</v>
      </c>
      <c r="F527" s="18" t="s">
        <v>131</v>
      </c>
    </row>
    <row r="529" spans="2:6" ht="15" customHeight="1" x14ac:dyDescent="0.25">
      <c r="B529" s="18" t="s">
        <v>80</v>
      </c>
      <c r="F529" s="20" t="s">
        <v>132</v>
      </c>
    </row>
    <row r="531" spans="2:6" ht="15" customHeight="1" x14ac:dyDescent="0.25">
      <c r="B531" s="18" t="s">
        <v>41</v>
      </c>
      <c r="F531" s="21" t="s">
        <v>81</v>
      </c>
    </row>
    <row r="533" spans="2:6" ht="15" customHeight="1" x14ac:dyDescent="0.25">
      <c r="B533" s="18" t="s">
        <v>42</v>
      </c>
      <c r="F533" s="21" t="s">
        <v>98</v>
      </c>
    </row>
    <row r="535" spans="2:6" ht="15" customHeight="1" x14ac:dyDescent="0.25">
      <c r="B535" s="18"/>
      <c r="F535" s="18"/>
    </row>
    <row r="547" spans="2:6" ht="27.95" customHeight="1" x14ac:dyDescent="0.25">
      <c r="B547" s="18"/>
      <c r="F547" s="18"/>
    </row>
    <row r="548" spans="2:6" ht="60" customHeight="1" x14ac:dyDescent="0.25">
      <c r="B548" s="18" t="s">
        <v>40</v>
      </c>
      <c r="F548" s="18" t="s">
        <v>133</v>
      </c>
    </row>
    <row r="549" spans="2:6" ht="15" customHeight="1" x14ac:dyDescent="0.25">
      <c r="B549" s="18"/>
      <c r="F549" s="20"/>
    </row>
    <row r="550" spans="2:6" ht="15" customHeight="1" x14ac:dyDescent="0.25">
      <c r="B550" s="18" t="s">
        <v>80</v>
      </c>
      <c r="F550" s="20" t="s">
        <v>134</v>
      </c>
    </row>
    <row r="551" spans="2:6" ht="15" customHeight="1" x14ac:dyDescent="0.25">
      <c r="B551" s="18"/>
      <c r="F551" s="21"/>
    </row>
    <row r="552" spans="2:6" ht="15" customHeight="1" x14ac:dyDescent="0.25">
      <c r="B552" s="18" t="s">
        <v>41</v>
      </c>
      <c r="F552" s="21" t="s">
        <v>81</v>
      </c>
    </row>
    <row r="553" spans="2:6" ht="15" customHeight="1" x14ac:dyDescent="0.25">
      <c r="B553" s="18"/>
      <c r="F553" s="18"/>
    </row>
    <row r="554" spans="2:6" ht="15" customHeight="1" x14ac:dyDescent="0.25">
      <c r="B554" s="18" t="s">
        <v>42</v>
      </c>
      <c r="F554" s="18" t="s">
        <v>98</v>
      </c>
    </row>
    <row r="565" spans="2:6" ht="15" customHeight="1" x14ac:dyDescent="0.25">
      <c r="B565" s="18"/>
      <c r="F565" s="18"/>
    </row>
    <row r="567" spans="2:6" ht="15" customHeight="1" x14ac:dyDescent="0.25">
      <c r="B567" s="18"/>
      <c r="F567" s="20"/>
    </row>
    <row r="568" spans="2:6" ht="27.95" customHeight="1" x14ac:dyDescent="0.25"/>
    <row r="569" spans="2:6" ht="60" customHeight="1" x14ac:dyDescent="0.25">
      <c r="B569" s="18" t="s">
        <v>40</v>
      </c>
      <c r="F569" s="21" t="s">
        <v>135</v>
      </c>
    </row>
    <row r="571" spans="2:6" ht="15" customHeight="1" x14ac:dyDescent="0.25">
      <c r="B571" s="18" t="s">
        <v>80</v>
      </c>
      <c r="F571" s="20" t="s">
        <v>136</v>
      </c>
    </row>
    <row r="573" spans="2:6" ht="15" customHeight="1" x14ac:dyDescent="0.25">
      <c r="B573" s="18" t="s">
        <v>41</v>
      </c>
      <c r="F573" s="21" t="s">
        <v>81</v>
      </c>
    </row>
    <row r="575" spans="2:6" ht="15" customHeight="1" x14ac:dyDescent="0.25">
      <c r="B575" s="18" t="s">
        <v>42</v>
      </c>
      <c r="F575" s="18" t="s">
        <v>98</v>
      </c>
    </row>
    <row r="583" spans="2:6" ht="15" customHeight="1" x14ac:dyDescent="0.25">
      <c r="B583" s="18"/>
      <c r="F583" s="18"/>
    </row>
    <row r="585" spans="2:6" ht="15" customHeight="1" x14ac:dyDescent="0.25">
      <c r="B585" s="18"/>
      <c r="F585" s="20"/>
    </row>
    <row r="587" spans="2:6" ht="15" customHeight="1" x14ac:dyDescent="0.25">
      <c r="B587" s="18"/>
      <c r="F587" s="21"/>
    </row>
    <row r="589" spans="2:6" ht="27.95" customHeight="1" x14ac:dyDescent="0.25">
      <c r="B589" s="18"/>
      <c r="F589" s="18"/>
    </row>
    <row r="590" spans="2:6" ht="60" customHeight="1" x14ac:dyDescent="0.25">
      <c r="B590" s="18" t="s">
        <v>40</v>
      </c>
      <c r="F590" s="18" t="s">
        <v>137</v>
      </c>
    </row>
    <row r="592" spans="2:6" ht="15" customHeight="1" x14ac:dyDescent="0.25">
      <c r="B592" s="18" t="s">
        <v>80</v>
      </c>
      <c r="F592" s="20" t="s">
        <v>138</v>
      </c>
    </row>
    <row r="594" spans="2:6" ht="15" customHeight="1" x14ac:dyDescent="0.25">
      <c r="B594" s="18" t="s">
        <v>41</v>
      </c>
      <c r="F594" s="21" t="s">
        <v>81</v>
      </c>
    </row>
    <row r="596" spans="2:6" ht="15" customHeight="1" x14ac:dyDescent="0.25">
      <c r="B596" s="18" t="s">
        <v>42</v>
      </c>
      <c r="F596" s="18" t="s">
        <v>98</v>
      </c>
    </row>
    <row r="601" spans="2:6" ht="15" customHeight="1" x14ac:dyDescent="0.25">
      <c r="B601" s="18"/>
      <c r="F601" s="18"/>
    </row>
    <row r="603" spans="2:6" ht="15" customHeight="1" x14ac:dyDescent="0.25">
      <c r="B603" s="18"/>
      <c r="F603" s="20"/>
    </row>
    <row r="605" spans="2:6" ht="15" customHeight="1" x14ac:dyDescent="0.25">
      <c r="B605" s="18"/>
      <c r="F605" s="21"/>
    </row>
    <row r="607" spans="2:6" ht="15" customHeight="1" x14ac:dyDescent="0.25">
      <c r="B607" s="18"/>
      <c r="F607" s="18"/>
    </row>
    <row r="610" spans="2:6" ht="27.95" customHeight="1" x14ac:dyDescent="0.25"/>
    <row r="611" spans="2:6" ht="60" customHeight="1" x14ac:dyDescent="0.25">
      <c r="B611" s="18" t="s">
        <v>40</v>
      </c>
      <c r="F611" s="18" t="s">
        <v>139</v>
      </c>
    </row>
    <row r="613" spans="2:6" ht="15" customHeight="1" x14ac:dyDescent="0.25">
      <c r="B613" s="18" t="s">
        <v>80</v>
      </c>
      <c r="F613" s="20" t="e">
        <v>#N/A</v>
      </c>
    </row>
    <row r="615" spans="2:6" ht="15" customHeight="1" x14ac:dyDescent="0.25">
      <c r="B615" s="18" t="s">
        <v>41</v>
      </c>
      <c r="F615" s="21" t="s">
        <v>81</v>
      </c>
    </row>
    <row r="617" spans="2:6" ht="15" customHeight="1" x14ac:dyDescent="0.25">
      <c r="B617" s="18" t="s">
        <v>42</v>
      </c>
      <c r="F617" s="18" t="s">
        <v>98</v>
      </c>
    </row>
    <row r="619" spans="2:6" ht="15" customHeight="1" x14ac:dyDescent="0.25">
      <c r="B619" s="18"/>
      <c r="F619" s="18"/>
    </row>
    <row r="621" spans="2:6" ht="15" customHeight="1" x14ac:dyDescent="0.25">
      <c r="B621" s="18"/>
      <c r="F621" s="20"/>
    </row>
    <row r="623" spans="2:6" ht="15" customHeight="1" x14ac:dyDescent="0.25">
      <c r="B623" s="18"/>
      <c r="F623" s="21"/>
    </row>
    <row r="625" spans="2:6" ht="15" customHeight="1" x14ac:dyDescent="0.25">
      <c r="B625" s="18"/>
      <c r="F625" s="18"/>
    </row>
    <row r="632" spans="2:6" ht="15" customHeight="1" x14ac:dyDescent="0.25">
      <c r="B632" s="18"/>
      <c r="F632" s="18"/>
    </row>
    <row r="634" spans="2:6" ht="15" customHeight="1" x14ac:dyDescent="0.25">
      <c r="B634" s="18"/>
      <c r="F634" s="20"/>
    </row>
    <row r="636" spans="2:6" ht="15" customHeight="1" x14ac:dyDescent="0.25">
      <c r="B636" s="18"/>
      <c r="F636" s="21"/>
    </row>
    <row r="637" spans="2:6" ht="15" customHeight="1" x14ac:dyDescent="0.25">
      <c r="B637" s="18"/>
      <c r="F637" s="18"/>
    </row>
    <row r="638" spans="2:6" ht="15" customHeight="1" x14ac:dyDescent="0.25">
      <c r="B638" s="18"/>
      <c r="F638" s="18"/>
    </row>
    <row r="639" spans="2:6" ht="15" customHeight="1" x14ac:dyDescent="0.25">
      <c r="B639" s="18"/>
      <c r="F639" s="20"/>
    </row>
    <row r="641" spans="2:6" ht="15" customHeight="1" x14ac:dyDescent="0.25">
      <c r="B641" s="18"/>
      <c r="F641" s="21"/>
    </row>
    <row r="643" spans="2:6" ht="15" customHeight="1" x14ac:dyDescent="0.25">
      <c r="B643" s="18"/>
      <c r="F643" s="18"/>
    </row>
    <row r="653" spans="2:6" ht="15" customHeight="1" x14ac:dyDescent="0.25">
      <c r="B653" s="18"/>
      <c r="F653" s="18"/>
    </row>
    <row r="655" spans="2:6" ht="15" customHeight="1" x14ac:dyDescent="0.25">
      <c r="B655" s="18"/>
      <c r="F655" s="20"/>
    </row>
    <row r="657" spans="2:6" ht="15" customHeight="1" x14ac:dyDescent="0.25">
      <c r="B657" s="18"/>
      <c r="F657" s="21"/>
    </row>
    <row r="659" spans="2:6" ht="15" customHeight="1" x14ac:dyDescent="0.25">
      <c r="B659" s="18"/>
      <c r="F659" s="21"/>
    </row>
    <row r="661" spans="2:6" ht="15" customHeight="1" x14ac:dyDescent="0.25">
      <c r="B661" s="18"/>
      <c r="F661" s="18"/>
    </row>
    <row r="674" spans="2:6" ht="15" customHeight="1" x14ac:dyDescent="0.25">
      <c r="B674" s="18"/>
      <c r="F674" s="18"/>
    </row>
    <row r="676" spans="2:6" ht="15" customHeight="1" x14ac:dyDescent="0.25">
      <c r="B676" s="18"/>
      <c r="F676" s="20"/>
    </row>
    <row r="678" spans="2:6" ht="15" customHeight="1" x14ac:dyDescent="0.25">
      <c r="B678" s="18"/>
      <c r="F678" s="21"/>
    </row>
    <row r="680" spans="2:6" ht="15" customHeight="1" x14ac:dyDescent="0.25">
      <c r="B680" s="18"/>
      <c r="F680" s="18"/>
    </row>
    <row r="695" spans="2:6" ht="15" customHeight="1" x14ac:dyDescent="0.25">
      <c r="B695" s="18"/>
      <c r="F695" s="18"/>
    </row>
    <row r="697" spans="2:6" ht="15" customHeight="1" x14ac:dyDescent="0.25">
      <c r="B697" s="18"/>
      <c r="F697" s="20"/>
    </row>
    <row r="699" spans="2:6" ht="15" customHeight="1" x14ac:dyDescent="0.25">
      <c r="B699" s="18"/>
      <c r="F699" s="21"/>
    </row>
    <row r="701" spans="2:6" ht="15" customHeight="1" x14ac:dyDescent="0.25">
      <c r="B701" s="18"/>
      <c r="F701" s="18"/>
    </row>
    <row r="716" spans="2:6" ht="15" customHeight="1" x14ac:dyDescent="0.25">
      <c r="B716" s="18"/>
      <c r="F716" s="18"/>
    </row>
    <row r="718" spans="2:6" ht="15" customHeight="1" x14ac:dyDescent="0.25">
      <c r="B718" s="18"/>
      <c r="F718" s="20"/>
    </row>
    <row r="720" spans="2:6" ht="15" customHeight="1" x14ac:dyDescent="0.25">
      <c r="B720" s="18"/>
      <c r="F720" s="21"/>
    </row>
    <row r="722" spans="2:6" ht="15" customHeight="1" x14ac:dyDescent="0.25">
      <c r="B722" s="18"/>
      <c r="F722" s="18"/>
    </row>
    <row r="737" spans="2:6" ht="15" customHeight="1" x14ac:dyDescent="0.25">
      <c r="B737" s="18"/>
      <c r="F737" s="18"/>
    </row>
    <row r="739" spans="2:6" ht="15" customHeight="1" x14ac:dyDescent="0.25">
      <c r="B739" s="18"/>
      <c r="F739" s="20"/>
    </row>
    <row r="741" spans="2:6" ht="15" customHeight="1" x14ac:dyDescent="0.25">
      <c r="B741" s="18"/>
      <c r="F741" s="21"/>
    </row>
    <row r="743" spans="2:6" ht="15" customHeight="1" x14ac:dyDescent="0.25">
      <c r="B743" s="18"/>
      <c r="F743" s="18"/>
    </row>
    <row r="758" spans="2:6" ht="15" customHeight="1" x14ac:dyDescent="0.25">
      <c r="B758" s="18"/>
      <c r="F758" s="18"/>
    </row>
    <row r="760" spans="2:6" ht="15" customHeight="1" x14ac:dyDescent="0.25">
      <c r="B760" s="18"/>
      <c r="F760" s="20"/>
    </row>
    <row r="762" spans="2:6" ht="15" customHeight="1" x14ac:dyDescent="0.25">
      <c r="B762" s="18"/>
      <c r="F762" s="21"/>
    </row>
    <row r="764" spans="2:6" ht="15" customHeight="1" x14ac:dyDescent="0.25">
      <c r="B764" s="18"/>
      <c r="F764" s="18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QRGENSOMBOON">
                <anchor moveWithCells="1" sizeWithCells="1">
                  <from>
                    <xdr:col>20</xdr:col>
                    <xdr:colOff>571500</xdr:colOff>
                    <xdr:row>2</xdr:row>
                    <xdr:rowOff>19050</xdr:rowOff>
                  </from>
                  <to>
                    <xdr:col>22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_QR">
                <anchor moveWithCells="1" sizeWithCells="1">
                  <from>
                    <xdr:col>20</xdr:col>
                    <xdr:colOff>571500</xdr:colOff>
                    <xdr:row>0</xdr:row>
                    <xdr:rowOff>314325</xdr:rowOff>
                  </from>
                  <to>
                    <xdr:col>22</xdr:col>
                    <xdr:colOff>428625</xdr:colOff>
                    <xdr:row>1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6"/>
  <sheetViews>
    <sheetView zoomScale="85" zoomScaleNormal="85" workbookViewId="0">
      <selection activeCell="M2" sqref="M2"/>
    </sheetView>
  </sheetViews>
  <sheetFormatPr defaultRowHeight="15" x14ac:dyDescent="0.25"/>
  <cols>
    <col min="1" max="1" width="12.28515625" style="2" bestFit="1" customWidth="1"/>
    <col min="2" max="2" width="44.28515625" style="2" bestFit="1" customWidth="1"/>
    <col min="3" max="3" width="5.140625" style="2" bestFit="1" customWidth="1"/>
    <col min="11" max="11" width="7" style="9" bestFit="1" customWidth="1"/>
    <col min="13" max="13" width="18.5703125" bestFit="1" customWidth="1"/>
  </cols>
  <sheetData>
    <row r="1" spans="1:13" x14ac:dyDescent="0.25">
      <c r="A1" s="3" t="s">
        <v>0</v>
      </c>
      <c r="B1" s="3" t="s">
        <v>1</v>
      </c>
      <c r="C1" s="3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41</v>
      </c>
      <c r="K1" s="9" t="s">
        <v>44</v>
      </c>
      <c r="L1" t="s">
        <v>42</v>
      </c>
      <c r="M1" t="s">
        <v>43</v>
      </c>
    </row>
    <row r="2" spans="1:13" x14ac:dyDescent="0.25">
      <c r="A2" s="5" t="s">
        <v>92</v>
      </c>
      <c r="B2" s="2" t="s">
        <v>93</v>
      </c>
      <c r="D2">
        <v>10</v>
      </c>
      <c r="E2" t="s">
        <v>94</v>
      </c>
      <c r="G2" t="s">
        <v>95</v>
      </c>
      <c r="I2" t="s">
        <v>95</v>
      </c>
      <c r="J2">
        <v>0</v>
      </c>
      <c r="K2" s="11" t="str">
        <f>IF(LEN(D2)=1,"00000"&amp;D2,(IF(LEN(D2)=2,"0000"&amp;D2,IF(LEN(D2)=3,"000"&amp;D2,IF(LEN(D2)=4,"00"&amp;D2,IF(LEN(D2)=5,"0"&amp;D2))))))</f>
        <v>000010</v>
      </c>
      <c r="M2" t="str">
        <f>A2&amp;K2</f>
        <v>CP011501104000010</v>
      </c>
    </row>
    <row r="3" spans="1:13" x14ac:dyDescent="0.25">
      <c r="A3" s="41" t="s">
        <v>96</v>
      </c>
      <c r="B3" s="41" t="s">
        <v>97</v>
      </c>
      <c r="C3" s="41"/>
      <c r="D3" s="41">
        <v>2200</v>
      </c>
      <c r="E3" s="42" t="s">
        <v>98</v>
      </c>
      <c r="J3">
        <v>0</v>
      </c>
      <c r="K3" s="11" t="str">
        <f t="shared" ref="K3:K66" si="0">IF(LEN(D3)=1,"00000"&amp;D3,(IF(LEN(D3)=2,"0000"&amp;D3,IF(LEN(D3)=3,"000"&amp;D3,IF(LEN(D3)=4,"00"&amp;D3,IF(LEN(D3)=5,"0"&amp;D3))))))</f>
        <v>002200</v>
      </c>
      <c r="M3" t="str">
        <f>A3&amp;K3</f>
        <v>KR011501004002200</v>
      </c>
    </row>
    <row r="4" spans="1:13" x14ac:dyDescent="0.25">
      <c r="A4" s="41" t="s">
        <v>99</v>
      </c>
      <c r="B4" s="41" t="s">
        <v>100</v>
      </c>
      <c r="C4" s="41"/>
      <c r="D4" s="41">
        <v>1000</v>
      </c>
      <c r="E4" s="42" t="s">
        <v>98</v>
      </c>
      <c r="F4">
        <v>100</v>
      </c>
      <c r="J4">
        <v>0</v>
      </c>
      <c r="K4" s="11" t="str">
        <f t="shared" si="0"/>
        <v>001000</v>
      </c>
      <c r="M4" t="str">
        <f>A4&amp;K4</f>
        <v>KR011502204001000</v>
      </c>
    </row>
    <row r="5" spans="1:13" x14ac:dyDescent="0.25">
      <c r="A5" s="41" t="s">
        <v>101</v>
      </c>
      <c r="B5" s="41" t="s">
        <v>102</v>
      </c>
      <c r="C5" s="41"/>
      <c r="D5" s="41">
        <v>8000</v>
      </c>
      <c r="E5" s="42" t="s">
        <v>98</v>
      </c>
      <c r="F5">
        <v>1000</v>
      </c>
      <c r="H5">
        <v>100</v>
      </c>
      <c r="J5">
        <v>0</v>
      </c>
      <c r="K5" s="11" t="str">
        <f t="shared" si="0"/>
        <v>008000</v>
      </c>
      <c r="M5" t="str">
        <f>A5&amp;K5</f>
        <v>KR011504004008000</v>
      </c>
    </row>
    <row r="6" spans="1:13" x14ac:dyDescent="0.25">
      <c r="A6" s="5" t="s">
        <v>103</v>
      </c>
      <c r="B6" s="2" t="s">
        <v>104</v>
      </c>
      <c r="D6">
        <v>2000</v>
      </c>
      <c r="E6" t="s">
        <v>95</v>
      </c>
      <c r="F6">
        <v>400</v>
      </c>
      <c r="G6" t="s">
        <v>95</v>
      </c>
      <c r="I6" t="s">
        <v>95</v>
      </c>
      <c r="J6">
        <v>0</v>
      </c>
      <c r="K6" s="11" t="str">
        <f t="shared" si="0"/>
        <v>002000</v>
      </c>
      <c r="M6" t="str">
        <f>A6&amp;K6</f>
        <v>KR011506404002000</v>
      </c>
    </row>
    <row r="7" spans="1:13" x14ac:dyDescent="0.25">
      <c r="A7" s="41" t="s">
        <v>105</v>
      </c>
      <c r="B7" s="41" t="s">
        <v>106</v>
      </c>
      <c r="C7" s="41"/>
      <c r="D7" s="41">
        <v>20000</v>
      </c>
      <c r="E7" s="42" t="s">
        <v>98</v>
      </c>
      <c r="J7">
        <v>0</v>
      </c>
      <c r="K7" s="11" t="str">
        <f t="shared" si="0"/>
        <v>020000</v>
      </c>
      <c r="M7" t="str">
        <f>A7&amp;K7</f>
        <v>KR011512404020000</v>
      </c>
    </row>
    <row r="8" spans="1:13" x14ac:dyDescent="0.25">
      <c r="A8" s="41" t="s">
        <v>107</v>
      </c>
      <c r="B8" s="41" t="s">
        <v>108</v>
      </c>
      <c r="C8" s="41"/>
      <c r="D8" s="41">
        <v>50000</v>
      </c>
      <c r="E8" s="42" t="s">
        <v>98</v>
      </c>
      <c r="J8">
        <v>0</v>
      </c>
      <c r="K8" s="11" t="str">
        <f t="shared" si="0"/>
        <v>050000</v>
      </c>
      <c r="M8" t="str">
        <f>A8&amp;K8</f>
        <v>KR011512604050000</v>
      </c>
    </row>
    <row r="9" spans="1:13" x14ac:dyDescent="0.25">
      <c r="A9" s="41" t="s">
        <v>109</v>
      </c>
      <c r="B9" s="41" t="s">
        <v>110</v>
      </c>
      <c r="C9" s="41"/>
      <c r="D9" s="41">
        <v>70000</v>
      </c>
      <c r="E9" s="42" t="s">
        <v>98</v>
      </c>
      <c r="J9">
        <v>30</v>
      </c>
      <c r="K9" s="11" t="str">
        <f t="shared" si="0"/>
        <v>070000</v>
      </c>
      <c r="M9" t="str">
        <f>A9&amp;K9</f>
        <v>KR011518504070000</v>
      </c>
    </row>
    <row r="10" spans="1:13" x14ac:dyDescent="0.25">
      <c r="A10" s="2" t="s">
        <v>12</v>
      </c>
      <c r="B10" s="2" t="s">
        <v>13</v>
      </c>
      <c r="D10" s="41">
        <v>0</v>
      </c>
      <c r="E10" t="s">
        <v>95</v>
      </c>
      <c r="G10" t="s">
        <v>95</v>
      </c>
      <c r="I10" t="s">
        <v>95</v>
      </c>
      <c r="J10">
        <v>30</v>
      </c>
      <c r="K10" s="11" t="str">
        <f t="shared" si="0"/>
        <v>000000</v>
      </c>
      <c r="M10" t="str">
        <f>A10&amp;K10</f>
        <v>KR011801504000000</v>
      </c>
    </row>
    <row r="11" spans="1:13" x14ac:dyDescent="0.25">
      <c r="A11" s="2" t="s">
        <v>6</v>
      </c>
      <c r="B11" s="2" t="s">
        <v>7</v>
      </c>
      <c r="D11" s="41">
        <v>0</v>
      </c>
      <c r="E11" t="s">
        <v>95</v>
      </c>
      <c r="G11" t="s">
        <v>95</v>
      </c>
      <c r="I11" t="s">
        <v>95</v>
      </c>
      <c r="J11">
        <v>30</v>
      </c>
      <c r="K11" s="11" t="str">
        <f t="shared" si="0"/>
        <v>000000</v>
      </c>
      <c r="M11" t="str">
        <f>A11&amp;K11</f>
        <v>KR011802404000000</v>
      </c>
    </row>
    <row r="12" spans="1:13" x14ac:dyDescent="0.25">
      <c r="A12" s="2" t="s">
        <v>14</v>
      </c>
      <c r="B12" s="2" t="s">
        <v>15</v>
      </c>
      <c r="C12" s="2">
        <v>40</v>
      </c>
      <c r="D12" s="41">
        <v>168</v>
      </c>
      <c r="E12" t="s">
        <v>95</v>
      </c>
      <c r="G12" t="s">
        <v>95</v>
      </c>
      <c r="I12" t="s">
        <v>95</v>
      </c>
      <c r="J12">
        <v>30</v>
      </c>
      <c r="K12" s="11" t="str">
        <f t="shared" si="0"/>
        <v>000168</v>
      </c>
      <c r="M12" t="str">
        <f>A12&amp;K12</f>
        <v>KR051500104000168</v>
      </c>
    </row>
    <row r="13" spans="1:13" x14ac:dyDescent="0.25">
      <c r="A13" s="2" t="s">
        <v>30</v>
      </c>
      <c r="B13" s="2" t="s">
        <v>31</v>
      </c>
      <c r="D13" s="41">
        <v>0</v>
      </c>
      <c r="E13" t="s">
        <v>95</v>
      </c>
      <c r="G13" t="s">
        <v>95</v>
      </c>
      <c r="I13" t="s">
        <v>95</v>
      </c>
      <c r="J13">
        <v>30</v>
      </c>
      <c r="K13" s="11" t="str">
        <f t="shared" si="0"/>
        <v>000000</v>
      </c>
      <c r="M13" t="str">
        <f>A13&amp;K13</f>
        <v>KR051500204000000</v>
      </c>
    </row>
    <row r="14" spans="1:13" x14ac:dyDescent="0.25">
      <c r="A14" s="41" t="s">
        <v>111</v>
      </c>
      <c r="B14" s="41" t="s">
        <v>112</v>
      </c>
      <c r="C14" s="41"/>
      <c r="D14" s="41">
        <v>14400</v>
      </c>
      <c r="E14" s="42" t="s">
        <v>98</v>
      </c>
      <c r="J14">
        <v>60</v>
      </c>
      <c r="K14" s="11" t="str">
        <f t="shared" si="0"/>
        <v>014400</v>
      </c>
      <c r="M14" t="str">
        <f>A14&amp;K14</f>
        <v>KR051500304014400</v>
      </c>
    </row>
    <row r="15" spans="1:13" x14ac:dyDescent="0.25">
      <c r="A15" s="41" t="s">
        <v>113</v>
      </c>
      <c r="B15" s="41" t="s">
        <v>114</v>
      </c>
      <c r="C15" s="41"/>
      <c r="D15" s="41">
        <v>5000</v>
      </c>
      <c r="E15" s="42" t="s">
        <v>98</v>
      </c>
      <c r="F15">
        <v>1000</v>
      </c>
      <c r="J15">
        <v>0</v>
      </c>
      <c r="K15" s="11" t="str">
        <f t="shared" si="0"/>
        <v>005000</v>
      </c>
      <c r="M15" t="str">
        <f>A15&amp;K15</f>
        <v>KR051500504005000</v>
      </c>
    </row>
    <row r="16" spans="1:13" x14ac:dyDescent="0.25">
      <c r="A16" s="1" t="s">
        <v>2</v>
      </c>
      <c r="B16" s="1" t="s">
        <v>3</v>
      </c>
      <c r="C16" s="1"/>
      <c r="D16" s="41">
        <v>0</v>
      </c>
      <c r="E16" t="s">
        <v>95</v>
      </c>
      <c r="G16" t="s">
        <v>95</v>
      </c>
      <c r="I16" t="s">
        <v>95</v>
      </c>
      <c r="J16">
        <v>0</v>
      </c>
      <c r="K16" s="11" t="str">
        <f t="shared" si="0"/>
        <v>000000</v>
      </c>
      <c r="M16" t="str">
        <f>A16&amp;K16</f>
        <v>KR051500604000000</v>
      </c>
    </row>
    <row r="17" spans="1:13" x14ac:dyDescent="0.25">
      <c r="A17" s="2" t="s">
        <v>38</v>
      </c>
      <c r="B17" s="2" t="s">
        <v>39</v>
      </c>
      <c r="D17" s="41">
        <v>0</v>
      </c>
      <c r="E17" t="s">
        <v>95</v>
      </c>
      <c r="G17" t="s">
        <v>95</v>
      </c>
      <c r="I17" t="s">
        <v>95</v>
      </c>
      <c r="J17">
        <v>32</v>
      </c>
      <c r="K17" s="11" t="str">
        <f t="shared" si="0"/>
        <v>000000</v>
      </c>
      <c r="L17" t="s">
        <v>79</v>
      </c>
      <c r="M17" t="str">
        <f>A17&amp;K17</f>
        <v>KR051500704000000</v>
      </c>
    </row>
    <row r="18" spans="1:13" x14ac:dyDescent="0.25">
      <c r="A18" s="5" t="s">
        <v>115</v>
      </c>
      <c r="B18" s="2" t="s">
        <v>116</v>
      </c>
      <c r="D18">
        <v>5000</v>
      </c>
      <c r="E18" t="s">
        <v>95</v>
      </c>
      <c r="F18">
        <v>1000</v>
      </c>
      <c r="G18" t="s">
        <v>95</v>
      </c>
      <c r="I18" t="s">
        <v>95</v>
      </c>
      <c r="J18">
        <v>32</v>
      </c>
      <c r="K18" s="11" t="str">
        <f t="shared" si="0"/>
        <v>005000</v>
      </c>
      <c r="L18" t="s">
        <v>79</v>
      </c>
      <c r="M18" t="str">
        <f>A18&amp;K18</f>
        <v>KR051500904005000</v>
      </c>
    </row>
    <row r="19" spans="1:13" x14ac:dyDescent="0.25">
      <c r="A19" s="5" t="s">
        <v>117</v>
      </c>
      <c r="B19" s="2" t="s">
        <v>118</v>
      </c>
      <c r="D19">
        <v>8000</v>
      </c>
      <c r="E19" t="s">
        <v>95</v>
      </c>
      <c r="F19">
        <v>2000</v>
      </c>
      <c r="G19" t="s">
        <v>95</v>
      </c>
      <c r="I19" t="s">
        <v>95</v>
      </c>
      <c r="J19">
        <v>32</v>
      </c>
      <c r="K19" s="11" t="str">
        <f t="shared" si="0"/>
        <v>008000</v>
      </c>
      <c r="L19" t="s">
        <v>79</v>
      </c>
      <c r="M19" t="str">
        <f>A19&amp;K19</f>
        <v>KR051501004008000</v>
      </c>
    </row>
    <row r="20" spans="1:13" x14ac:dyDescent="0.25">
      <c r="A20" s="41" t="s">
        <v>117</v>
      </c>
      <c r="B20" s="41" t="s">
        <v>118</v>
      </c>
      <c r="C20" s="41"/>
      <c r="D20" s="41">
        <v>8000</v>
      </c>
      <c r="E20" s="42" t="s">
        <v>98</v>
      </c>
      <c r="J20">
        <v>32</v>
      </c>
      <c r="K20" s="11" t="str">
        <f t="shared" si="0"/>
        <v>008000</v>
      </c>
      <c r="M20" t="str">
        <f>A20&amp;K20</f>
        <v>KR051501004008000</v>
      </c>
    </row>
    <row r="21" spans="1:13" x14ac:dyDescent="0.25">
      <c r="A21" s="5" t="s">
        <v>119</v>
      </c>
      <c r="B21" s="2" t="s">
        <v>120</v>
      </c>
      <c r="D21">
        <v>20000</v>
      </c>
      <c r="E21" t="s">
        <v>95</v>
      </c>
      <c r="F21">
        <v>1000</v>
      </c>
      <c r="G21" t="s">
        <v>95</v>
      </c>
      <c r="I21" t="s">
        <v>95</v>
      </c>
      <c r="K21" s="11" t="str">
        <f t="shared" si="0"/>
        <v>020000</v>
      </c>
      <c r="M21" t="str">
        <f>A21&amp;K21</f>
        <v>KR051501104020000</v>
      </c>
    </row>
    <row r="22" spans="1:13" x14ac:dyDescent="0.25">
      <c r="A22" s="5" t="s">
        <v>121</v>
      </c>
      <c r="B22" s="2" t="s">
        <v>122</v>
      </c>
      <c r="D22">
        <v>50000</v>
      </c>
      <c r="E22" t="s">
        <v>95</v>
      </c>
      <c r="F22">
        <v>1000</v>
      </c>
      <c r="G22" t="s">
        <v>95</v>
      </c>
      <c r="I22" t="s">
        <v>95</v>
      </c>
      <c r="K22" s="11" t="str">
        <f t="shared" si="0"/>
        <v>050000</v>
      </c>
      <c r="M22" t="str">
        <f>A22&amp;K22</f>
        <v>KR051501204050000</v>
      </c>
    </row>
    <row r="23" spans="1:13" x14ac:dyDescent="0.25">
      <c r="A23" s="5" t="s">
        <v>123</v>
      </c>
      <c r="B23" s="2" t="s">
        <v>124</v>
      </c>
      <c r="D23">
        <v>20000</v>
      </c>
      <c r="E23" t="s">
        <v>95</v>
      </c>
      <c r="F23">
        <v>1000</v>
      </c>
      <c r="G23" t="s">
        <v>95</v>
      </c>
      <c r="I23" t="s">
        <v>95</v>
      </c>
      <c r="K23" s="11" t="str">
        <f t="shared" si="0"/>
        <v>020000</v>
      </c>
      <c r="M23" t="str">
        <f>A23&amp;K23</f>
        <v>KR051501304020000</v>
      </c>
    </row>
    <row r="24" spans="1:13" x14ac:dyDescent="0.25">
      <c r="A24" s="5" t="s">
        <v>125</v>
      </c>
      <c r="B24" s="2" t="s">
        <v>126</v>
      </c>
      <c r="D24">
        <v>10000</v>
      </c>
      <c r="E24" t="s">
        <v>95</v>
      </c>
      <c r="F24">
        <v>2000</v>
      </c>
      <c r="G24" t="s">
        <v>95</v>
      </c>
      <c r="H24">
        <v>100</v>
      </c>
      <c r="I24" t="s">
        <v>95</v>
      </c>
      <c r="K24" s="11" t="str">
        <f t="shared" si="0"/>
        <v>010000</v>
      </c>
      <c r="M24" t="str">
        <f>A24&amp;K24</f>
        <v>KR051501404010000</v>
      </c>
    </row>
    <row r="25" spans="1:13" x14ac:dyDescent="0.25">
      <c r="A25" s="41" t="s">
        <v>127</v>
      </c>
      <c r="B25" s="41" t="s">
        <v>128</v>
      </c>
      <c r="C25" s="41"/>
      <c r="D25" s="41">
        <v>800</v>
      </c>
      <c r="E25" s="42" t="s">
        <v>98</v>
      </c>
      <c r="J25">
        <v>18</v>
      </c>
      <c r="K25" s="11" t="str">
        <f t="shared" si="0"/>
        <v>000800</v>
      </c>
      <c r="M25" t="str">
        <f>A25&amp;K25</f>
        <v>KR051501804000800</v>
      </c>
    </row>
    <row r="26" spans="1:13" x14ac:dyDescent="0.25">
      <c r="A26" s="41" t="s">
        <v>129</v>
      </c>
      <c r="B26" s="41" t="s">
        <v>130</v>
      </c>
      <c r="C26" s="41"/>
      <c r="D26" s="41">
        <v>10000</v>
      </c>
      <c r="E26" s="42" t="s">
        <v>98</v>
      </c>
      <c r="K26" s="11" t="str">
        <f t="shared" si="0"/>
        <v>010000</v>
      </c>
      <c r="M26" t="str">
        <f>A26&amp;K26</f>
        <v>KR051502004010000</v>
      </c>
    </row>
    <row r="27" spans="1:13" x14ac:dyDescent="0.25">
      <c r="A27" s="41" t="s">
        <v>131</v>
      </c>
      <c r="B27" s="41" t="s">
        <v>132</v>
      </c>
      <c r="C27" s="41"/>
      <c r="D27" s="41">
        <v>24000</v>
      </c>
      <c r="E27" s="42" t="s">
        <v>98</v>
      </c>
      <c r="K27" s="11" t="str">
        <f t="shared" si="0"/>
        <v>024000</v>
      </c>
      <c r="M27" t="str">
        <f>A27&amp;K27</f>
        <v>KR051502104024000</v>
      </c>
    </row>
    <row r="28" spans="1:13" x14ac:dyDescent="0.25">
      <c r="A28" s="41" t="s">
        <v>133</v>
      </c>
      <c r="B28" s="41" t="s">
        <v>134</v>
      </c>
      <c r="C28" s="41"/>
      <c r="D28" s="41">
        <v>24000</v>
      </c>
      <c r="E28" s="42" t="s">
        <v>98</v>
      </c>
      <c r="K28" s="11" t="str">
        <f t="shared" si="0"/>
        <v>024000</v>
      </c>
      <c r="M28" t="str">
        <f>A28&amp;K28</f>
        <v>KR051502204024000</v>
      </c>
    </row>
    <row r="29" spans="1:13" x14ac:dyDescent="0.25">
      <c r="A29" s="41" t="s">
        <v>135</v>
      </c>
      <c r="B29" s="41" t="s">
        <v>136</v>
      </c>
      <c r="C29" s="41"/>
      <c r="D29" s="41">
        <v>20000</v>
      </c>
      <c r="E29" s="42" t="s">
        <v>98</v>
      </c>
      <c r="K29" s="11" t="str">
        <f t="shared" si="0"/>
        <v>020000</v>
      </c>
      <c r="M29" t="str">
        <f>A29&amp;K29</f>
        <v>KR051502304020000</v>
      </c>
    </row>
    <row r="30" spans="1:13" x14ac:dyDescent="0.25">
      <c r="A30" s="41" t="s">
        <v>137</v>
      </c>
      <c r="B30" s="41" t="s">
        <v>138</v>
      </c>
      <c r="C30" s="41"/>
      <c r="D30" s="41">
        <v>8000</v>
      </c>
      <c r="E30" s="42" t="s">
        <v>98</v>
      </c>
      <c r="F30">
        <v>1000</v>
      </c>
      <c r="K30" s="11" t="str">
        <f t="shared" si="0"/>
        <v>008000</v>
      </c>
      <c r="M30" t="str">
        <f>A30&amp;K30</f>
        <v>KR051502704008000</v>
      </c>
    </row>
    <row r="31" spans="1:13" x14ac:dyDescent="0.25">
      <c r="A31" s="41" t="s">
        <v>139</v>
      </c>
      <c r="B31" s="41" t="e">
        <v>#N/A</v>
      </c>
      <c r="C31" s="41"/>
      <c r="D31" s="41">
        <v>2000</v>
      </c>
      <c r="E31" s="42" t="s">
        <v>98</v>
      </c>
      <c r="K31" s="11" t="str">
        <f t="shared" si="0"/>
        <v>002000</v>
      </c>
      <c r="M31" t="str">
        <f>A31&amp;K31</f>
        <v>KR051506404002000</v>
      </c>
    </row>
    <row r="32" spans="1:13" x14ac:dyDescent="0.25">
      <c r="A32" s="5" t="s">
        <v>140</v>
      </c>
      <c r="B32" s="2" t="s">
        <v>141</v>
      </c>
      <c r="D32">
        <v>5000</v>
      </c>
      <c r="E32" t="s">
        <v>95</v>
      </c>
      <c r="F32">
        <v>500</v>
      </c>
      <c r="G32" t="s">
        <v>95</v>
      </c>
      <c r="I32" t="s">
        <v>95</v>
      </c>
      <c r="K32" s="11" t="str">
        <f t="shared" si="0"/>
        <v>005000</v>
      </c>
      <c r="M32" t="str">
        <f>A32&amp;K32</f>
        <v>KR051511004005000</v>
      </c>
    </row>
    <row r="33" spans="1:13" x14ac:dyDescent="0.25">
      <c r="A33" s="5" t="s">
        <v>142</v>
      </c>
      <c r="B33" s="2" t="s">
        <v>143</v>
      </c>
      <c r="D33">
        <v>12000</v>
      </c>
      <c r="E33" t="s">
        <v>95</v>
      </c>
      <c r="F33">
        <v>2000</v>
      </c>
      <c r="G33" t="s">
        <v>95</v>
      </c>
      <c r="I33" t="s">
        <v>95</v>
      </c>
      <c r="K33" s="11" t="str">
        <f t="shared" si="0"/>
        <v>012000</v>
      </c>
      <c r="M33" t="str">
        <f>A33&amp;K33</f>
        <v>KR051511804012000</v>
      </c>
    </row>
    <row r="34" spans="1:13" x14ac:dyDescent="0.25">
      <c r="A34" s="41" t="s">
        <v>144</v>
      </c>
      <c r="B34" s="41" t="s">
        <v>145</v>
      </c>
      <c r="C34" s="41"/>
      <c r="D34" s="41">
        <v>1500</v>
      </c>
      <c r="E34" s="42" t="s">
        <v>98</v>
      </c>
      <c r="J34">
        <v>250</v>
      </c>
      <c r="K34" s="11" t="str">
        <f t="shared" si="0"/>
        <v>001500</v>
      </c>
      <c r="M34" t="str">
        <f>A34&amp;K34</f>
        <v>KR051512804001500</v>
      </c>
    </row>
    <row r="35" spans="1:13" x14ac:dyDescent="0.25">
      <c r="A35" s="5" t="s">
        <v>146</v>
      </c>
      <c r="B35" s="2" t="s">
        <v>147</v>
      </c>
      <c r="D35">
        <v>4800</v>
      </c>
      <c r="E35" t="s">
        <v>95</v>
      </c>
      <c r="F35">
        <v>1200</v>
      </c>
      <c r="G35" t="s">
        <v>95</v>
      </c>
      <c r="I35" t="s">
        <v>95</v>
      </c>
      <c r="J35">
        <v>1000</v>
      </c>
      <c r="K35" s="11" t="str">
        <f t="shared" si="0"/>
        <v>004800</v>
      </c>
      <c r="M35" t="str">
        <f>A35&amp;K35</f>
        <v>KR051513304004800</v>
      </c>
    </row>
    <row r="36" spans="1:13" x14ac:dyDescent="0.25">
      <c r="A36" s="5" t="s">
        <v>148</v>
      </c>
      <c r="B36" s="2" t="s">
        <v>149</v>
      </c>
      <c r="D36">
        <v>5000</v>
      </c>
      <c r="E36" t="s">
        <v>95</v>
      </c>
      <c r="F36">
        <v>1000</v>
      </c>
      <c r="G36" t="s">
        <v>95</v>
      </c>
      <c r="H36">
        <v>100</v>
      </c>
      <c r="I36" t="s">
        <v>95</v>
      </c>
      <c r="J36">
        <v>1000</v>
      </c>
      <c r="K36" s="11" t="str">
        <f t="shared" si="0"/>
        <v>005000</v>
      </c>
      <c r="M36" t="str">
        <f>A36&amp;K36</f>
        <v>KR051513404005000</v>
      </c>
    </row>
    <row r="37" spans="1:13" x14ac:dyDescent="0.25">
      <c r="A37" s="5" t="s">
        <v>150</v>
      </c>
      <c r="B37" s="2" t="s">
        <v>151</v>
      </c>
      <c r="D37">
        <v>30000</v>
      </c>
      <c r="E37" t="s">
        <v>95</v>
      </c>
      <c r="F37">
        <v>1000</v>
      </c>
      <c r="G37" t="s">
        <v>95</v>
      </c>
      <c r="H37">
        <v>100</v>
      </c>
      <c r="I37" t="s">
        <v>95</v>
      </c>
      <c r="J37">
        <v>1000</v>
      </c>
      <c r="K37" s="11" t="str">
        <f t="shared" si="0"/>
        <v>030000</v>
      </c>
      <c r="M37" t="str">
        <f>A37&amp;K37</f>
        <v>KR051513504030000</v>
      </c>
    </row>
    <row r="38" spans="1:13" x14ac:dyDescent="0.25">
      <c r="A38" s="5" t="s">
        <v>152</v>
      </c>
      <c r="B38" s="2" t="s">
        <v>153</v>
      </c>
      <c r="D38">
        <v>10000</v>
      </c>
      <c r="E38" t="s">
        <v>95</v>
      </c>
      <c r="F38">
        <v>1000</v>
      </c>
      <c r="G38" t="s">
        <v>95</v>
      </c>
      <c r="H38">
        <v>100</v>
      </c>
      <c r="I38" t="s">
        <v>95</v>
      </c>
      <c r="J38">
        <v>2400</v>
      </c>
      <c r="K38" s="11" t="str">
        <f t="shared" si="0"/>
        <v>010000</v>
      </c>
      <c r="L38" t="s">
        <v>83</v>
      </c>
      <c r="M38" t="str">
        <f>A38&amp;K38</f>
        <v>KR051513604010000</v>
      </c>
    </row>
    <row r="39" spans="1:13" x14ac:dyDescent="0.25">
      <c r="A39" s="5" t="s">
        <v>154</v>
      </c>
      <c r="B39" s="2" t="s">
        <v>155</v>
      </c>
      <c r="D39">
        <v>10000</v>
      </c>
      <c r="E39" t="s">
        <v>95</v>
      </c>
      <c r="F39">
        <v>1000</v>
      </c>
      <c r="G39" t="s">
        <v>95</v>
      </c>
      <c r="H39">
        <v>100</v>
      </c>
      <c r="I39" t="s">
        <v>95</v>
      </c>
      <c r="J39">
        <v>1280</v>
      </c>
      <c r="K39" s="11" t="str">
        <f t="shared" si="0"/>
        <v>010000</v>
      </c>
      <c r="L39" t="s">
        <v>83</v>
      </c>
      <c r="M39" t="str">
        <f>A39&amp;K39</f>
        <v>KR051513704010000</v>
      </c>
    </row>
    <row r="40" spans="1:13" x14ac:dyDescent="0.25">
      <c r="A40" s="5" t="s">
        <v>156</v>
      </c>
      <c r="B40" s="2" t="s">
        <v>157</v>
      </c>
      <c r="D40">
        <v>10000</v>
      </c>
      <c r="E40" t="s">
        <v>95</v>
      </c>
      <c r="F40">
        <v>1000</v>
      </c>
      <c r="G40" t="s">
        <v>95</v>
      </c>
      <c r="H40">
        <v>100</v>
      </c>
      <c r="I40" t="s">
        <v>95</v>
      </c>
      <c r="K40" s="11" t="str">
        <f t="shared" si="0"/>
        <v>010000</v>
      </c>
      <c r="M40" t="str">
        <f t="shared" ref="M40:M94" si="1">A40&amp;K40</f>
        <v>KR051513804010000</v>
      </c>
    </row>
    <row r="41" spans="1:13" x14ac:dyDescent="0.25">
      <c r="A41" s="5" t="s">
        <v>158</v>
      </c>
      <c r="B41" s="2" t="s">
        <v>159</v>
      </c>
      <c r="D41">
        <v>10000</v>
      </c>
      <c r="E41" t="s">
        <v>95</v>
      </c>
      <c r="F41">
        <v>1000</v>
      </c>
      <c r="G41" t="s">
        <v>95</v>
      </c>
      <c r="H41">
        <v>100</v>
      </c>
      <c r="I41" t="s">
        <v>95</v>
      </c>
      <c r="K41" s="11" t="str">
        <f t="shared" si="0"/>
        <v>010000</v>
      </c>
      <c r="M41" t="str">
        <f t="shared" si="1"/>
        <v>KR051513904010000</v>
      </c>
    </row>
    <row r="42" spans="1:13" x14ac:dyDescent="0.25">
      <c r="A42" s="5" t="s">
        <v>160</v>
      </c>
      <c r="B42" s="2" t="s">
        <v>161</v>
      </c>
      <c r="D42">
        <v>10000</v>
      </c>
      <c r="E42" t="s">
        <v>95</v>
      </c>
      <c r="F42">
        <v>1000</v>
      </c>
      <c r="G42" t="s">
        <v>95</v>
      </c>
      <c r="H42">
        <v>100</v>
      </c>
      <c r="I42" t="s">
        <v>95</v>
      </c>
      <c r="K42" s="11" t="str">
        <f t="shared" si="0"/>
        <v>010000</v>
      </c>
      <c r="M42" t="str">
        <f t="shared" si="1"/>
        <v>KR051514004010000</v>
      </c>
    </row>
    <row r="43" spans="1:13" x14ac:dyDescent="0.25">
      <c r="A43" s="5" t="s">
        <v>162</v>
      </c>
      <c r="B43" s="2" t="s">
        <v>163</v>
      </c>
      <c r="D43">
        <v>10000</v>
      </c>
      <c r="E43" t="s">
        <v>95</v>
      </c>
      <c r="F43">
        <v>1000</v>
      </c>
      <c r="G43" t="s">
        <v>95</v>
      </c>
      <c r="H43">
        <v>100</v>
      </c>
      <c r="I43" t="s">
        <v>95</v>
      </c>
      <c r="K43" s="11" t="str">
        <f t="shared" si="0"/>
        <v>010000</v>
      </c>
      <c r="M43" t="str">
        <f t="shared" si="1"/>
        <v>KR051514204010000</v>
      </c>
    </row>
    <row r="44" spans="1:13" x14ac:dyDescent="0.25">
      <c r="A44" s="5" t="s">
        <v>164</v>
      </c>
      <c r="B44" s="2" t="s">
        <v>165</v>
      </c>
      <c r="D44">
        <v>10000</v>
      </c>
      <c r="E44" t="s">
        <v>95</v>
      </c>
      <c r="F44">
        <v>1000</v>
      </c>
      <c r="G44" t="s">
        <v>95</v>
      </c>
      <c r="H44">
        <v>100</v>
      </c>
      <c r="I44" t="s">
        <v>95</v>
      </c>
      <c r="K44" s="11" t="str">
        <f t="shared" si="0"/>
        <v>010000</v>
      </c>
      <c r="M44" t="str">
        <f t="shared" si="1"/>
        <v>KR051514504010000</v>
      </c>
    </row>
    <row r="45" spans="1:13" x14ac:dyDescent="0.25">
      <c r="A45" s="41" t="s">
        <v>166</v>
      </c>
      <c r="B45" s="41" t="s">
        <v>167</v>
      </c>
      <c r="C45" s="41"/>
      <c r="D45" s="41">
        <v>1100</v>
      </c>
      <c r="E45" s="42" t="s">
        <v>98</v>
      </c>
      <c r="K45" s="11" t="str">
        <f t="shared" si="0"/>
        <v>001100</v>
      </c>
      <c r="M45" t="str">
        <f t="shared" si="1"/>
        <v>KR051514604001100</v>
      </c>
    </row>
    <row r="46" spans="1:13" x14ac:dyDescent="0.25">
      <c r="A46" s="2" t="s">
        <v>36</v>
      </c>
      <c r="B46" s="2" t="s">
        <v>37</v>
      </c>
      <c r="D46">
        <v>462</v>
      </c>
      <c r="E46" t="s">
        <v>95</v>
      </c>
      <c r="G46" t="s">
        <v>95</v>
      </c>
      <c r="I46" t="s">
        <v>95</v>
      </c>
      <c r="K46" s="11" t="str">
        <f t="shared" si="0"/>
        <v>000462</v>
      </c>
      <c r="M46" t="str">
        <f t="shared" si="1"/>
        <v>KR051514904000462</v>
      </c>
    </row>
    <row r="47" spans="1:13" x14ac:dyDescent="0.25">
      <c r="A47" s="41" t="s">
        <v>168</v>
      </c>
      <c r="B47" s="41" t="s">
        <v>169</v>
      </c>
      <c r="C47" s="41"/>
      <c r="D47" s="41">
        <v>20000</v>
      </c>
      <c r="E47" s="42" t="s">
        <v>98</v>
      </c>
      <c r="K47" s="11" t="str">
        <f t="shared" si="0"/>
        <v>020000</v>
      </c>
      <c r="M47" t="str">
        <f t="shared" si="1"/>
        <v>KR051515004020000</v>
      </c>
    </row>
    <row r="48" spans="1:13" x14ac:dyDescent="0.25">
      <c r="A48" s="41" t="s">
        <v>170</v>
      </c>
      <c r="B48" s="41" t="s">
        <v>171</v>
      </c>
      <c r="C48" s="41"/>
      <c r="D48" s="41">
        <v>333</v>
      </c>
      <c r="E48" s="42" t="s">
        <v>98</v>
      </c>
      <c r="K48" s="11" t="str">
        <f t="shared" si="0"/>
        <v>000333</v>
      </c>
      <c r="M48" t="str">
        <f t="shared" si="1"/>
        <v>KR051515104000333</v>
      </c>
    </row>
    <row r="49" spans="1:13" x14ac:dyDescent="0.25">
      <c r="A49" s="41" t="s">
        <v>172</v>
      </c>
      <c r="B49" s="41" t="s">
        <v>173</v>
      </c>
      <c r="C49" s="41">
        <v>30</v>
      </c>
      <c r="D49" s="41">
        <v>30</v>
      </c>
      <c r="E49" s="42" t="s">
        <v>98</v>
      </c>
      <c r="K49" s="11" t="str">
        <f t="shared" si="0"/>
        <v>000030</v>
      </c>
      <c r="M49" t="str">
        <f t="shared" si="1"/>
        <v>KR051515604000030</v>
      </c>
    </row>
    <row r="50" spans="1:13" x14ac:dyDescent="0.25">
      <c r="A50" s="41" t="s">
        <v>174</v>
      </c>
      <c r="B50" s="41" t="s">
        <v>175</v>
      </c>
      <c r="C50" s="41">
        <v>25</v>
      </c>
      <c r="D50" s="41">
        <v>770</v>
      </c>
      <c r="E50" s="42" t="s">
        <v>98</v>
      </c>
      <c r="K50" s="11" t="str">
        <f t="shared" si="0"/>
        <v>000770</v>
      </c>
      <c r="M50" t="str">
        <f t="shared" si="1"/>
        <v>KR051515704000770</v>
      </c>
    </row>
    <row r="51" spans="1:13" x14ac:dyDescent="0.25">
      <c r="A51" s="41" t="s">
        <v>174</v>
      </c>
      <c r="B51" s="41" t="s">
        <v>175</v>
      </c>
      <c r="C51" s="41">
        <v>36</v>
      </c>
      <c r="D51" s="41">
        <v>135</v>
      </c>
      <c r="E51" s="42" t="s">
        <v>98</v>
      </c>
      <c r="K51" s="11" t="str">
        <f t="shared" si="0"/>
        <v>000135</v>
      </c>
      <c r="M51" t="str">
        <f t="shared" si="1"/>
        <v>KR051515704000135</v>
      </c>
    </row>
    <row r="52" spans="1:13" x14ac:dyDescent="0.25">
      <c r="A52" s="41" t="s">
        <v>176</v>
      </c>
      <c r="B52" s="41" t="s">
        <v>177</v>
      </c>
      <c r="C52" s="41">
        <v>36</v>
      </c>
      <c r="D52" s="41">
        <v>135</v>
      </c>
      <c r="E52" s="42" t="s">
        <v>98</v>
      </c>
      <c r="K52" s="11" t="str">
        <f t="shared" si="0"/>
        <v>000135</v>
      </c>
      <c r="M52" t="str">
        <f t="shared" si="1"/>
        <v>KR051515804000135</v>
      </c>
    </row>
    <row r="53" spans="1:13" x14ac:dyDescent="0.25">
      <c r="A53" s="41" t="s">
        <v>24</v>
      </c>
      <c r="B53" s="41" t="s">
        <v>25</v>
      </c>
      <c r="C53" s="41">
        <v>30</v>
      </c>
      <c r="D53" s="41">
        <v>30</v>
      </c>
      <c r="E53" s="42" t="s">
        <v>98</v>
      </c>
      <c r="K53" s="11" t="str">
        <f t="shared" si="0"/>
        <v>000030</v>
      </c>
      <c r="M53" t="str">
        <f t="shared" si="1"/>
        <v>KR051516104000030</v>
      </c>
    </row>
    <row r="54" spans="1:13" x14ac:dyDescent="0.25">
      <c r="A54" s="2" t="s">
        <v>26</v>
      </c>
      <c r="B54" s="2" t="s">
        <v>27</v>
      </c>
      <c r="C54" s="1">
        <v>30</v>
      </c>
      <c r="D54" s="41">
        <v>30</v>
      </c>
      <c r="E54" t="s">
        <v>95</v>
      </c>
      <c r="G54" t="s">
        <v>95</v>
      </c>
      <c r="I54" t="s">
        <v>95</v>
      </c>
      <c r="K54" s="11" t="str">
        <f t="shared" si="0"/>
        <v>000030</v>
      </c>
      <c r="M54" t="str">
        <f t="shared" si="1"/>
        <v>KR051516404000030</v>
      </c>
    </row>
    <row r="55" spans="1:13" x14ac:dyDescent="0.25">
      <c r="A55" s="2" t="s">
        <v>20</v>
      </c>
      <c r="B55" s="2" t="s">
        <v>21</v>
      </c>
      <c r="C55" s="1">
        <v>30</v>
      </c>
      <c r="D55" s="41">
        <v>30</v>
      </c>
      <c r="E55" t="s">
        <v>95</v>
      </c>
      <c r="G55" t="s">
        <v>95</v>
      </c>
      <c r="I55" t="s">
        <v>95</v>
      </c>
      <c r="K55" s="11" t="str">
        <f t="shared" si="0"/>
        <v>000030</v>
      </c>
      <c r="M55" t="str">
        <f t="shared" si="1"/>
        <v>KR051519604000030</v>
      </c>
    </row>
    <row r="56" spans="1:13" x14ac:dyDescent="0.25">
      <c r="A56" s="41" t="s">
        <v>16</v>
      </c>
      <c r="B56" s="41" t="s">
        <v>17</v>
      </c>
      <c r="C56" s="41">
        <v>30</v>
      </c>
      <c r="D56" s="41">
        <v>30</v>
      </c>
      <c r="E56" s="42" t="s">
        <v>98</v>
      </c>
      <c r="K56" s="11" t="str">
        <f t="shared" si="0"/>
        <v>000030</v>
      </c>
      <c r="M56" t="str">
        <f t="shared" si="1"/>
        <v>KR051519704000030</v>
      </c>
    </row>
    <row r="57" spans="1:13" x14ac:dyDescent="0.25">
      <c r="A57" s="2" t="s">
        <v>22</v>
      </c>
      <c r="B57" s="2" t="s">
        <v>23</v>
      </c>
      <c r="D57" s="41">
        <v>0</v>
      </c>
      <c r="E57" t="s">
        <v>95</v>
      </c>
      <c r="G57" t="s">
        <v>95</v>
      </c>
      <c r="I57" t="s">
        <v>95</v>
      </c>
      <c r="K57" s="11" t="str">
        <f t="shared" si="0"/>
        <v>000000</v>
      </c>
      <c r="M57" t="str">
        <f t="shared" si="1"/>
        <v>KR051521804000000</v>
      </c>
    </row>
    <row r="58" spans="1:13" x14ac:dyDescent="0.25">
      <c r="A58" s="5" t="s">
        <v>82</v>
      </c>
      <c r="B58" s="2" t="s">
        <v>178</v>
      </c>
      <c r="D58">
        <v>2400</v>
      </c>
      <c r="E58" t="s">
        <v>95</v>
      </c>
      <c r="F58">
        <v>300</v>
      </c>
      <c r="G58" t="s">
        <v>95</v>
      </c>
      <c r="I58" t="s">
        <v>95</v>
      </c>
      <c r="K58" s="11" t="str">
        <f t="shared" si="0"/>
        <v>002400</v>
      </c>
      <c r="M58" t="str">
        <f t="shared" si="1"/>
        <v>KR051522904002400</v>
      </c>
    </row>
    <row r="59" spans="1:13" x14ac:dyDescent="0.25">
      <c r="A59" s="4" t="s">
        <v>10</v>
      </c>
      <c r="B59" s="5" t="s">
        <v>11</v>
      </c>
      <c r="C59" s="5">
        <v>12</v>
      </c>
      <c r="D59">
        <v>60</v>
      </c>
      <c r="E59" t="s">
        <v>95</v>
      </c>
      <c r="G59" t="s">
        <v>95</v>
      </c>
      <c r="I59" t="s">
        <v>95</v>
      </c>
      <c r="K59" s="11" t="str">
        <f t="shared" si="0"/>
        <v>000060</v>
      </c>
      <c r="M59" t="str">
        <f t="shared" si="1"/>
        <v>KR051523004000060</v>
      </c>
    </row>
    <row r="60" spans="1:13" x14ac:dyDescent="0.25">
      <c r="A60" s="5" t="s">
        <v>179</v>
      </c>
      <c r="B60" s="2" t="s">
        <v>180</v>
      </c>
      <c r="D60">
        <v>5000</v>
      </c>
      <c r="E60" t="s">
        <v>95</v>
      </c>
      <c r="F60">
        <v>1000</v>
      </c>
      <c r="G60" t="s">
        <v>95</v>
      </c>
      <c r="H60">
        <v>100</v>
      </c>
      <c r="I60" t="s">
        <v>95</v>
      </c>
      <c r="K60" s="11" t="str">
        <f t="shared" si="0"/>
        <v>005000</v>
      </c>
      <c r="M60" t="str">
        <f t="shared" si="1"/>
        <v>KR051523104005000</v>
      </c>
    </row>
    <row r="61" spans="1:13" x14ac:dyDescent="0.25">
      <c r="A61" s="5" t="s">
        <v>84</v>
      </c>
      <c r="B61" s="2" t="s">
        <v>181</v>
      </c>
      <c r="D61">
        <v>1280</v>
      </c>
      <c r="E61" t="s">
        <v>95</v>
      </c>
      <c r="G61" t="s">
        <v>95</v>
      </c>
      <c r="I61" t="s">
        <v>95</v>
      </c>
      <c r="K61" s="11" t="str">
        <f t="shared" si="0"/>
        <v>001280</v>
      </c>
      <c r="M61" t="str">
        <f t="shared" si="1"/>
        <v>KR051524304001280</v>
      </c>
    </row>
    <row r="62" spans="1:13" x14ac:dyDescent="0.25">
      <c r="A62" s="5" t="s">
        <v>182</v>
      </c>
      <c r="B62" s="2" t="s">
        <v>183</v>
      </c>
      <c r="D62">
        <v>1200</v>
      </c>
      <c r="E62" t="s">
        <v>95</v>
      </c>
      <c r="F62">
        <v>3000</v>
      </c>
      <c r="G62" t="s">
        <v>95</v>
      </c>
      <c r="I62" t="s">
        <v>95</v>
      </c>
      <c r="K62" s="11" t="str">
        <f t="shared" si="0"/>
        <v>001200</v>
      </c>
      <c r="M62" t="str">
        <f t="shared" si="1"/>
        <v>KR051526604001200</v>
      </c>
    </row>
    <row r="63" spans="1:13" x14ac:dyDescent="0.25">
      <c r="A63" s="5" t="s">
        <v>184</v>
      </c>
      <c r="B63" s="2" t="s">
        <v>185</v>
      </c>
      <c r="D63">
        <v>4000</v>
      </c>
      <c r="E63" t="s">
        <v>95</v>
      </c>
      <c r="F63">
        <v>800</v>
      </c>
      <c r="G63" t="s">
        <v>95</v>
      </c>
      <c r="I63" t="s">
        <v>95</v>
      </c>
      <c r="K63" s="11" t="str">
        <f t="shared" si="0"/>
        <v>004000</v>
      </c>
      <c r="M63" t="str">
        <f t="shared" si="1"/>
        <v>KR051526704004000</v>
      </c>
    </row>
    <row r="64" spans="1:13" x14ac:dyDescent="0.25">
      <c r="A64" s="5" t="s">
        <v>186</v>
      </c>
      <c r="B64" s="2" t="s">
        <v>187</v>
      </c>
      <c r="D64">
        <v>2000</v>
      </c>
      <c r="E64" t="s">
        <v>95</v>
      </c>
      <c r="F64">
        <v>400</v>
      </c>
      <c r="G64" t="s">
        <v>95</v>
      </c>
      <c r="I64" t="s">
        <v>95</v>
      </c>
      <c r="K64" s="11" t="str">
        <f t="shared" si="0"/>
        <v>002000</v>
      </c>
      <c r="M64" t="str">
        <f t="shared" si="1"/>
        <v>KR051526804002000</v>
      </c>
    </row>
    <row r="65" spans="1:13" x14ac:dyDescent="0.25">
      <c r="A65" s="41" t="s">
        <v>186</v>
      </c>
      <c r="B65" s="41" t="s">
        <v>187</v>
      </c>
      <c r="C65" s="41"/>
      <c r="D65" s="41">
        <v>3200</v>
      </c>
      <c r="E65" s="42" t="s">
        <v>98</v>
      </c>
      <c r="K65" s="11" t="str">
        <f t="shared" si="0"/>
        <v>003200</v>
      </c>
      <c r="M65" t="str">
        <f t="shared" si="1"/>
        <v>KR051526804003200</v>
      </c>
    </row>
    <row r="66" spans="1:13" x14ac:dyDescent="0.25">
      <c r="A66" s="5" t="s">
        <v>188</v>
      </c>
      <c r="B66" s="2" t="s">
        <v>189</v>
      </c>
      <c r="D66">
        <v>8000</v>
      </c>
      <c r="E66" t="s">
        <v>95</v>
      </c>
      <c r="F66">
        <v>2000</v>
      </c>
      <c r="G66" t="s">
        <v>95</v>
      </c>
      <c r="I66" t="s">
        <v>95</v>
      </c>
      <c r="K66" s="11" t="str">
        <f t="shared" si="0"/>
        <v>008000</v>
      </c>
      <c r="M66" t="str">
        <f t="shared" si="1"/>
        <v>KR051526904008000</v>
      </c>
    </row>
    <row r="67" spans="1:13" x14ac:dyDescent="0.25">
      <c r="A67" s="41" t="s">
        <v>28</v>
      </c>
      <c r="B67" s="41" t="s">
        <v>29</v>
      </c>
      <c r="C67" s="41">
        <v>30</v>
      </c>
      <c r="D67" s="41">
        <v>80</v>
      </c>
      <c r="E67" s="42" t="s">
        <v>98</v>
      </c>
      <c r="K67" s="11" t="str">
        <f t="shared" ref="K67:K94" si="2">IF(LEN(D67)=1,"00000"&amp;D67,(IF(LEN(D67)=2,"0000"&amp;D67,IF(LEN(D67)=3,"000"&amp;D67,IF(LEN(D67)=4,"00"&amp;D67,IF(LEN(D67)=5,"0"&amp;D67))))))</f>
        <v>000080</v>
      </c>
      <c r="M67" t="str">
        <f t="shared" si="1"/>
        <v>KR051528804000080</v>
      </c>
    </row>
    <row r="68" spans="1:13" x14ac:dyDescent="0.25">
      <c r="A68" s="41" t="s">
        <v>8</v>
      </c>
      <c r="B68" s="41" t="s">
        <v>9</v>
      </c>
      <c r="C68" s="41">
        <v>12</v>
      </c>
      <c r="D68" s="41">
        <v>32</v>
      </c>
      <c r="E68" s="42" t="s">
        <v>98</v>
      </c>
      <c r="K68" s="11" t="str">
        <f t="shared" si="2"/>
        <v>000032</v>
      </c>
      <c r="M68" t="str">
        <f t="shared" si="1"/>
        <v>KR051528904000032</v>
      </c>
    </row>
    <row r="69" spans="1:13" x14ac:dyDescent="0.25">
      <c r="A69" s="41" t="s">
        <v>190</v>
      </c>
      <c r="B69" s="41" t="s">
        <v>191</v>
      </c>
      <c r="C69" s="41">
        <v>36</v>
      </c>
      <c r="D69" s="41">
        <v>135</v>
      </c>
      <c r="E69" s="42" t="s">
        <v>98</v>
      </c>
      <c r="K69" s="11" t="str">
        <f t="shared" si="2"/>
        <v>000135</v>
      </c>
      <c r="M69" t="str">
        <f t="shared" si="1"/>
        <v>KR051529804000135</v>
      </c>
    </row>
    <row r="70" spans="1:13" x14ac:dyDescent="0.25">
      <c r="A70" s="41" t="s">
        <v>192</v>
      </c>
      <c r="B70" s="41" t="s">
        <v>193</v>
      </c>
      <c r="C70" s="41">
        <v>15</v>
      </c>
      <c r="D70" s="41">
        <v>216</v>
      </c>
      <c r="E70" s="42" t="s">
        <v>98</v>
      </c>
      <c r="K70" s="11" t="str">
        <f t="shared" si="2"/>
        <v>000216</v>
      </c>
      <c r="M70" t="str">
        <f t="shared" si="1"/>
        <v>KR051530304000216</v>
      </c>
    </row>
    <row r="71" spans="1:13" x14ac:dyDescent="0.25">
      <c r="A71" s="6" t="s">
        <v>34</v>
      </c>
      <c r="B71" s="6" t="s">
        <v>35</v>
      </c>
      <c r="C71" s="6"/>
      <c r="D71" s="41">
        <v>0</v>
      </c>
      <c r="E71" t="s">
        <v>95</v>
      </c>
      <c r="G71" t="s">
        <v>95</v>
      </c>
      <c r="I71" t="s">
        <v>95</v>
      </c>
      <c r="K71" s="11" t="str">
        <f t="shared" si="2"/>
        <v>000000</v>
      </c>
      <c r="M71" t="str">
        <f t="shared" si="1"/>
        <v>KR051531004000000</v>
      </c>
    </row>
    <row r="72" spans="1:13" x14ac:dyDescent="0.25">
      <c r="A72" s="7" t="s">
        <v>4</v>
      </c>
      <c r="B72" s="6" t="s">
        <v>5</v>
      </c>
      <c r="C72" s="6"/>
      <c r="D72" s="41">
        <v>0</v>
      </c>
      <c r="E72" t="s">
        <v>95</v>
      </c>
      <c r="G72" t="s">
        <v>95</v>
      </c>
      <c r="I72" t="s">
        <v>95</v>
      </c>
      <c r="K72" s="11" t="str">
        <f t="shared" si="2"/>
        <v>000000</v>
      </c>
      <c r="M72" t="str">
        <f t="shared" si="1"/>
        <v>KR051531104000000</v>
      </c>
    </row>
    <row r="73" spans="1:13" x14ac:dyDescent="0.25">
      <c r="A73" s="6" t="s">
        <v>32</v>
      </c>
      <c r="B73" s="6" t="s">
        <v>33</v>
      </c>
      <c r="C73" s="6"/>
      <c r="D73" s="41">
        <v>0</v>
      </c>
      <c r="E73" t="s">
        <v>95</v>
      </c>
      <c r="G73" t="s">
        <v>95</v>
      </c>
      <c r="I73" t="s">
        <v>95</v>
      </c>
      <c r="K73" s="11" t="str">
        <f t="shared" si="2"/>
        <v>000000</v>
      </c>
      <c r="M73" t="str">
        <f t="shared" si="1"/>
        <v>KR051535204000000</v>
      </c>
    </row>
    <row r="74" spans="1:13" x14ac:dyDescent="0.25">
      <c r="A74" s="6" t="s">
        <v>18</v>
      </c>
      <c r="B74" s="6" t="s">
        <v>19</v>
      </c>
      <c r="C74" s="6"/>
      <c r="D74" s="41">
        <v>0</v>
      </c>
      <c r="E74" t="s">
        <v>95</v>
      </c>
      <c r="G74" t="s">
        <v>95</v>
      </c>
      <c r="I74" t="s">
        <v>95</v>
      </c>
      <c r="K74" s="11" t="str">
        <f t="shared" si="2"/>
        <v>000000</v>
      </c>
      <c r="M74" t="str">
        <f t="shared" si="1"/>
        <v>KR051537004000000</v>
      </c>
    </row>
    <row r="75" spans="1:13" x14ac:dyDescent="0.25">
      <c r="A75" s="2" t="s">
        <v>77</v>
      </c>
      <c r="B75" s="2" t="s">
        <v>78</v>
      </c>
      <c r="D75" s="41">
        <v>0</v>
      </c>
      <c r="E75" t="s">
        <v>95</v>
      </c>
      <c r="G75" t="s">
        <v>95</v>
      </c>
      <c r="I75" t="s">
        <v>95</v>
      </c>
      <c r="K75" s="11" t="str">
        <f t="shared" si="2"/>
        <v>000000</v>
      </c>
      <c r="M75" t="str">
        <f t="shared" si="1"/>
        <v>KR051804804000000</v>
      </c>
    </row>
    <row r="76" spans="1:13" x14ac:dyDescent="0.25">
      <c r="A76" s="2" t="s">
        <v>51</v>
      </c>
      <c r="B76" s="2" t="s">
        <v>52</v>
      </c>
      <c r="D76" s="41">
        <v>0</v>
      </c>
      <c r="E76" t="s">
        <v>95</v>
      </c>
      <c r="G76" t="s">
        <v>95</v>
      </c>
      <c r="I76" t="s">
        <v>95</v>
      </c>
      <c r="K76" s="11" t="str">
        <f t="shared" si="2"/>
        <v>000000</v>
      </c>
      <c r="M76" t="str">
        <f t="shared" si="1"/>
        <v>KR061502904000000</v>
      </c>
    </row>
    <row r="77" spans="1:13" x14ac:dyDescent="0.25">
      <c r="A77" s="2" t="s">
        <v>75</v>
      </c>
      <c r="B77" s="2" t="s">
        <v>76</v>
      </c>
      <c r="D77" s="41">
        <v>0</v>
      </c>
      <c r="E77" t="s">
        <v>95</v>
      </c>
      <c r="G77" t="s">
        <v>95</v>
      </c>
      <c r="I77" t="s">
        <v>95</v>
      </c>
      <c r="K77" s="11" t="str">
        <f t="shared" si="2"/>
        <v>000000</v>
      </c>
      <c r="M77" t="str">
        <f t="shared" si="1"/>
        <v>KR061503004000000</v>
      </c>
    </row>
    <row r="78" spans="1:13" x14ac:dyDescent="0.25">
      <c r="A78" s="2" t="s">
        <v>59</v>
      </c>
      <c r="B78" s="2" t="s">
        <v>60</v>
      </c>
      <c r="D78" s="41">
        <v>0</v>
      </c>
      <c r="E78" t="s">
        <v>95</v>
      </c>
      <c r="G78" t="s">
        <v>95</v>
      </c>
      <c r="I78" t="s">
        <v>95</v>
      </c>
      <c r="K78" s="11" t="str">
        <f t="shared" si="2"/>
        <v>000000</v>
      </c>
      <c r="M78" t="str">
        <f t="shared" si="1"/>
        <v>KR071400804000000</v>
      </c>
    </row>
    <row r="79" spans="1:13" x14ac:dyDescent="0.25">
      <c r="A79" s="2" t="s">
        <v>73</v>
      </c>
      <c r="B79" s="2" t="s">
        <v>74</v>
      </c>
      <c r="D79" s="41">
        <v>0</v>
      </c>
      <c r="E79" t="s">
        <v>95</v>
      </c>
      <c r="G79" t="s">
        <v>95</v>
      </c>
      <c r="I79" t="s">
        <v>95</v>
      </c>
      <c r="K79" s="11" t="str">
        <f t="shared" si="2"/>
        <v>000000</v>
      </c>
      <c r="M79" t="str">
        <f t="shared" si="1"/>
        <v>KR071500404000000</v>
      </c>
    </row>
    <row r="80" spans="1:13" x14ac:dyDescent="0.25">
      <c r="A80" s="2" t="s">
        <v>67</v>
      </c>
      <c r="B80" s="2" t="s">
        <v>68</v>
      </c>
      <c r="D80" s="41">
        <v>0</v>
      </c>
      <c r="E80" t="s">
        <v>95</v>
      </c>
      <c r="G80" t="s">
        <v>95</v>
      </c>
      <c r="I80" t="s">
        <v>95</v>
      </c>
      <c r="K80" s="11" t="str">
        <f t="shared" si="2"/>
        <v>000000</v>
      </c>
      <c r="M80" t="str">
        <f t="shared" si="1"/>
        <v>KR071504404000000</v>
      </c>
    </row>
    <row r="81" spans="1:13" x14ac:dyDescent="0.25">
      <c r="A81" s="2" t="s">
        <v>61</v>
      </c>
      <c r="B81" s="2" t="s">
        <v>62</v>
      </c>
      <c r="D81" s="41">
        <v>0</v>
      </c>
      <c r="E81" t="s">
        <v>95</v>
      </c>
      <c r="G81" t="s">
        <v>95</v>
      </c>
      <c r="I81" t="s">
        <v>95</v>
      </c>
      <c r="K81" s="11" t="str">
        <f t="shared" si="2"/>
        <v>000000</v>
      </c>
      <c r="M81" t="str">
        <f t="shared" si="1"/>
        <v>KR071506304000000</v>
      </c>
    </row>
    <row r="82" spans="1:13" x14ac:dyDescent="0.25">
      <c r="A82" s="2" t="s">
        <v>53</v>
      </c>
      <c r="B82" s="2" t="s">
        <v>54</v>
      </c>
      <c r="D82" s="41">
        <v>0</v>
      </c>
      <c r="E82" t="s">
        <v>95</v>
      </c>
      <c r="G82" t="s">
        <v>95</v>
      </c>
      <c r="I82" t="s">
        <v>95</v>
      </c>
      <c r="K82" s="11" t="str">
        <f t="shared" si="2"/>
        <v>000000</v>
      </c>
      <c r="M82" t="str">
        <f t="shared" si="1"/>
        <v>KR071509104000000</v>
      </c>
    </row>
    <row r="83" spans="1:13" x14ac:dyDescent="0.25">
      <c r="A83" s="2" t="s">
        <v>47</v>
      </c>
      <c r="B83" s="2" t="s">
        <v>48</v>
      </c>
      <c r="D83" s="41">
        <v>0</v>
      </c>
      <c r="E83" t="s">
        <v>95</v>
      </c>
      <c r="G83" t="s">
        <v>95</v>
      </c>
      <c r="I83" t="s">
        <v>95</v>
      </c>
      <c r="K83" s="11" t="str">
        <f t="shared" si="2"/>
        <v>000000</v>
      </c>
      <c r="M83" t="str">
        <f t="shared" si="1"/>
        <v>KR071509204000000</v>
      </c>
    </row>
    <row r="84" spans="1:13" x14ac:dyDescent="0.25">
      <c r="A84" s="2" t="s">
        <v>45</v>
      </c>
      <c r="B84" s="2" t="s">
        <v>46</v>
      </c>
      <c r="D84" s="41">
        <v>0</v>
      </c>
      <c r="E84" t="s">
        <v>95</v>
      </c>
      <c r="G84" t="s">
        <v>95</v>
      </c>
      <c r="I84" t="s">
        <v>95</v>
      </c>
      <c r="K84" s="11" t="str">
        <f t="shared" si="2"/>
        <v>000000</v>
      </c>
      <c r="M84" t="str">
        <f t="shared" si="1"/>
        <v>KR071509304000000</v>
      </c>
    </row>
    <row r="85" spans="1:13" x14ac:dyDescent="0.25">
      <c r="A85" s="2" t="s">
        <v>49</v>
      </c>
      <c r="B85" s="2" t="s">
        <v>50</v>
      </c>
      <c r="D85" s="41">
        <v>0</v>
      </c>
      <c r="E85" t="s">
        <v>95</v>
      </c>
      <c r="G85" t="s">
        <v>95</v>
      </c>
      <c r="I85" t="s">
        <v>95</v>
      </c>
      <c r="K85" s="11" t="str">
        <f t="shared" si="2"/>
        <v>000000</v>
      </c>
      <c r="M85" t="str">
        <f t="shared" si="1"/>
        <v>KR071509604000000</v>
      </c>
    </row>
    <row r="86" spans="1:13" x14ac:dyDescent="0.25">
      <c r="A86" s="2" t="s">
        <v>57</v>
      </c>
      <c r="B86" s="2" t="s">
        <v>58</v>
      </c>
      <c r="D86" s="41">
        <v>0</v>
      </c>
      <c r="E86" t="s">
        <v>95</v>
      </c>
      <c r="G86" t="s">
        <v>95</v>
      </c>
      <c r="I86" t="s">
        <v>95</v>
      </c>
      <c r="K86" s="11" t="str">
        <f t="shared" si="2"/>
        <v>000000</v>
      </c>
      <c r="M86" t="str">
        <f t="shared" si="1"/>
        <v>KR071510904000000</v>
      </c>
    </row>
    <row r="87" spans="1:13" x14ac:dyDescent="0.25">
      <c r="A87" s="2" t="s">
        <v>71</v>
      </c>
      <c r="B87" s="2" t="s">
        <v>72</v>
      </c>
      <c r="D87" s="41">
        <v>0</v>
      </c>
      <c r="E87" t="s">
        <v>95</v>
      </c>
      <c r="G87" t="s">
        <v>95</v>
      </c>
      <c r="I87" t="s">
        <v>95</v>
      </c>
      <c r="K87" s="11" t="str">
        <f t="shared" si="2"/>
        <v>000000</v>
      </c>
      <c r="M87" t="str">
        <f t="shared" si="1"/>
        <v>KR071511504000000</v>
      </c>
    </row>
    <row r="88" spans="1:13" x14ac:dyDescent="0.25">
      <c r="A88" s="2" t="s">
        <v>55</v>
      </c>
      <c r="B88" s="2" t="s">
        <v>56</v>
      </c>
      <c r="D88" s="41">
        <v>0</v>
      </c>
      <c r="E88" t="s">
        <v>95</v>
      </c>
      <c r="G88" t="s">
        <v>95</v>
      </c>
      <c r="I88" t="s">
        <v>95</v>
      </c>
      <c r="K88" s="11" t="str">
        <f t="shared" si="2"/>
        <v>000000</v>
      </c>
      <c r="M88" t="str">
        <f t="shared" si="1"/>
        <v>KR071800104000000</v>
      </c>
    </row>
    <row r="89" spans="1:13" x14ac:dyDescent="0.25">
      <c r="A89" s="2" t="s">
        <v>69</v>
      </c>
      <c r="B89" s="2" t="s">
        <v>70</v>
      </c>
      <c r="D89" s="41">
        <v>0</v>
      </c>
      <c r="E89" t="s">
        <v>95</v>
      </c>
      <c r="G89" t="s">
        <v>95</v>
      </c>
      <c r="I89" t="s">
        <v>95</v>
      </c>
      <c r="K89" s="11" t="str">
        <f t="shared" si="2"/>
        <v>000000</v>
      </c>
      <c r="M89" t="str">
        <f t="shared" si="1"/>
        <v>KR071801104000000</v>
      </c>
    </row>
    <row r="90" spans="1:13" x14ac:dyDescent="0.25">
      <c r="A90" s="2" t="s">
        <v>63</v>
      </c>
      <c r="B90" s="2" t="s">
        <v>64</v>
      </c>
      <c r="D90" s="41">
        <v>0</v>
      </c>
      <c r="E90" t="s">
        <v>95</v>
      </c>
      <c r="G90" t="s">
        <v>95</v>
      </c>
      <c r="I90" t="s">
        <v>95</v>
      </c>
      <c r="K90" s="11" t="str">
        <f t="shared" si="2"/>
        <v>000000</v>
      </c>
      <c r="M90" t="str">
        <f t="shared" si="1"/>
        <v>KR071801204000000</v>
      </c>
    </row>
    <row r="91" spans="1:13" x14ac:dyDescent="0.25">
      <c r="A91" s="2" t="s">
        <v>65</v>
      </c>
      <c r="B91" s="2" t="s">
        <v>66</v>
      </c>
      <c r="D91" s="41">
        <v>0</v>
      </c>
      <c r="E91" t="s">
        <v>95</v>
      </c>
      <c r="G91" t="s">
        <v>95</v>
      </c>
      <c r="I91" t="s">
        <v>95</v>
      </c>
      <c r="K91" s="11" t="str">
        <f t="shared" si="2"/>
        <v>000000</v>
      </c>
      <c r="M91" t="str">
        <f t="shared" si="1"/>
        <v>KR071801704000000</v>
      </c>
    </row>
    <row r="92" spans="1:13" x14ac:dyDescent="0.25">
      <c r="A92" s="41" t="s">
        <v>194</v>
      </c>
      <c r="B92" s="41" t="s">
        <v>195</v>
      </c>
      <c r="C92"/>
      <c r="D92">
        <v>10000</v>
      </c>
      <c r="E92" t="s">
        <v>95</v>
      </c>
      <c r="K92" s="11" t="str">
        <f t="shared" si="2"/>
        <v>010000</v>
      </c>
      <c r="M92" t="str">
        <f t="shared" si="1"/>
        <v>KR051530204010000</v>
      </c>
    </row>
    <row r="93" spans="1:13" x14ac:dyDescent="0.25">
      <c r="A93" s="41" t="s">
        <v>196</v>
      </c>
      <c r="B93" t="s">
        <v>197</v>
      </c>
      <c r="C93"/>
      <c r="D93">
        <v>2500</v>
      </c>
      <c r="E93" t="s">
        <v>95</v>
      </c>
      <c r="K93" s="11" t="str">
        <f t="shared" si="2"/>
        <v>002500</v>
      </c>
      <c r="M93" t="str">
        <f t="shared" si="1"/>
        <v>KR051530004002500</v>
      </c>
    </row>
    <row r="94" spans="1:13" x14ac:dyDescent="0.25">
      <c r="A94" t="s">
        <v>198</v>
      </c>
      <c r="B94" t="s">
        <v>199</v>
      </c>
      <c r="C94"/>
      <c r="D94">
        <v>400</v>
      </c>
      <c r="E94" t="s">
        <v>95</v>
      </c>
      <c r="K94" s="11" t="str">
        <f t="shared" si="2"/>
        <v>000400</v>
      </c>
      <c r="M94" t="str">
        <f t="shared" si="1"/>
        <v>KR051512404000400</v>
      </c>
    </row>
    <row r="95" spans="1:13" x14ac:dyDescent="0.25">
      <c r="A95"/>
      <c r="B95"/>
      <c r="C95"/>
    </row>
    <row r="96" spans="1:1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/>
      <c r="B120"/>
      <c r="C120"/>
    </row>
    <row r="121" spans="1:3" x14ac:dyDescent="0.25">
      <c r="A121"/>
      <c r="B121"/>
      <c r="C121"/>
    </row>
    <row r="122" spans="1:3" x14ac:dyDescent="0.25">
      <c r="A122"/>
      <c r="B122"/>
      <c r="C122"/>
    </row>
    <row r="123" spans="1:3" x14ac:dyDescent="0.25">
      <c r="A123"/>
      <c r="B123"/>
      <c r="C123"/>
    </row>
    <row r="124" spans="1:3" x14ac:dyDescent="0.25">
      <c r="A124"/>
      <c r="B124"/>
      <c r="C124"/>
    </row>
    <row r="125" spans="1:3" x14ac:dyDescent="0.25">
      <c r="A125"/>
      <c r="B125"/>
      <c r="C125"/>
    </row>
    <row r="126" spans="1:3" x14ac:dyDescent="0.25">
      <c r="A126"/>
      <c r="B126"/>
      <c r="C126"/>
    </row>
    <row r="127" spans="1:3" x14ac:dyDescent="0.25">
      <c r="A127"/>
      <c r="B127"/>
      <c r="C127"/>
    </row>
    <row r="128" spans="1:3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</sheetData>
  <autoFilter ref="A1:B20">
    <sortState ref="A2:B96">
      <sortCondition ref="A1:A96"/>
    </sortState>
  </autoFilter>
  <conditionalFormatting sqref="A11">
    <cfRule type="duplicateValues" dxfId="1" priority="2"/>
  </conditionalFormatting>
  <conditionalFormatting sqref="A1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QRCODE</vt:lpstr>
      <vt:lpstr>Generate</vt:lpstr>
      <vt:lpstr>QRCODE!Print_Area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TH,WH</dc:creator>
  <cp:lastModifiedBy>TH,store</cp:lastModifiedBy>
  <cp:lastPrinted>2020-11-18T12:26:36Z</cp:lastPrinted>
  <dcterms:created xsi:type="dcterms:W3CDTF">2020-11-18T03:44:07Z</dcterms:created>
  <dcterms:modified xsi:type="dcterms:W3CDTF">2020-11-20T06:26:29Z</dcterms:modified>
</cp:coreProperties>
</file>