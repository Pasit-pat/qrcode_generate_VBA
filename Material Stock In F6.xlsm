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Public\1.Project Barcode\"/>
    </mc:Choice>
  </mc:AlternateContent>
  <bookViews>
    <workbookView xWindow="0" yWindow="0" windowWidth="28800" windowHeight="12435"/>
  </bookViews>
  <sheets>
    <sheet name="Recive" sheetId="1" r:id="rId1"/>
    <sheet name="Route Ticket" sheetId="7" r:id="rId2"/>
    <sheet name="Stock In" sheetId="3" r:id="rId3"/>
    <sheet name="Total Stock In" sheetId="6" r:id="rId4"/>
    <sheet name="Record" sheetId="8" r:id="rId5"/>
    <sheet name="DATABASE" sheetId="12" r:id="rId6"/>
  </sheets>
  <definedNames>
    <definedName name="_xlnm._FilterDatabase" localSheetId="2">'Stock In'!$C$2:$H$2</definedName>
    <definedName name="_xlnm._FilterDatabase" localSheetId="3" hidden="1">'Total Stock In'!$B$1:$D$298</definedName>
    <definedName name="Query_from_Excel_Files" localSheetId="5" hidden="1">DATABASE!$A$1:$Q$1059</definedName>
    <definedName name="Route1">#REF!</definedName>
    <definedName name="SF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3" l="1"/>
  <c r="H1" i="3"/>
  <c r="G1" i="3"/>
  <c r="F1" i="3"/>
  <c r="E22" i="1" l="1"/>
  <c r="C1" i="3"/>
  <c r="F9" i="1" l="1"/>
  <c r="I7" i="1" l="1"/>
  <c r="I9" i="1" l="1"/>
  <c r="F11" i="1"/>
  <c r="H10" i="1" l="1"/>
  <c r="F22" i="1"/>
  <c r="F10" i="1"/>
  <c r="E1" i="3" l="1"/>
  <c r="D293" i="6"/>
  <c r="D295" i="6"/>
  <c r="D297" i="6"/>
  <c r="D299" i="6"/>
  <c r="D301" i="6"/>
  <c r="D303" i="6"/>
  <c r="D305" i="6"/>
  <c r="D307" i="6"/>
  <c r="D309" i="6"/>
  <c r="D311" i="6"/>
  <c r="D313" i="6"/>
  <c r="D315" i="6"/>
  <c r="D317" i="6"/>
  <c r="D319" i="6"/>
  <c r="D321" i="6"/>
  <c r="D323" i="6"/>
  <c r="D325" i="6"/>
  <c r="D327" i="6"/>
  <c r="D329" i="6"/>
  <c r="D331" i="6"/>
  <c r="D333" i="6"/>
  <c r="D335" i="6"/>
  <c r="D337" i="6"/>
  <c r="D339" i="6"/>
  <c r="D341" i="6"/>
  <c r="D343" i="6"/>
  <c r="D345" i="6"/>
  <c r="D347" i="6"/>
  <c r="D349" i="6"/>
  <c r="D351" i="6"/>
  <c r="D353" i="6"/>
  <c r="D355" i="6"/>
  <c r="D357" i="6"/>
  <c r="D359" i="6"/>
  <c r="D361" i="6"/>
  <c r="D363" i="6"/>
  <c r="D365" i="6"/>
  <c r="D367" i="6"/>
  <c r="D369" i="6"/>
  <c r="D371" i="6"/>
  <c r="D373" i="6"/>
  <c r="D375" i="6"/>
  <c r="D377" i="6"/>
  <c r="D379" i="6"/>
  <c r="D381" i="6"/>
  <c r="D383" i="6"/>
  <c r="D385" i="6"/>
  <c r="D387" i="6"/>
  <c r="D389" i="6"/>
  <c r="D391" i="6"/>
  <c r="D393" i="6"/>
  <c r="D395" i="6"/>
  <c r="D397" i="6"/>
  <c r="D399" i="6"/>
  <c r="D401" i="6"/>
  <c r="D403" i="6"/>
  <c r="D405" i="6"/>
  <c r="D407" i="6"/>
  <c r="D409" i="6"/>
  <c r="D411" i="6"/>
  <c r="D413" i="6"/>
  <c r="D415" i="6"/>
  <c r="D417" i="6"/>
  <c r="D419" i="6"/>
  <c r="D421" i="6"/>
  <c r="D423" i="6"/>
  <c r="D425" i="6"/>
  <c r="D427" i="6"/>
  <c r="D429" i="6"/>
  <c r="D431" i="6"/>
  <c r="D433" i="6"/>
  <c r="D435" i="6"/>
  <c r="D437" i="6"/>
  <c r="D439" i="6"/>
  <c r="D441" i="6"/>
  <c r="D443" i="6"/>
  <c r="D445" i="6"/>
  <c r="D447" i="6"/>
  <c r="D449" i="6"/>
  <c r="D451" i="6"/>
  <c r="D453" i="6"/>
  <c r="D455" i="6"/>
  <c r="D457" i="6"/>
  <c r="D459" i="6"/>
  <c r="D292" i="6"/>
  <c r="D294" i="6"/>
  <c r="D296" i="6"/>
  <c r="D298" i="6"/>
  <c r="D300" i="6"/>
  <c r="D302" i="6"/>
  <c r="D304" i="6"/>
  <c r="D306" i="6"/>
  <c r="D308" i="6"/>
  <c r="D310" i="6"/>
  <c r="D312" i="6"/>
  <c r="D314" i="6"/>
  <c r="D316" i="6"/>
  <c r="D318" i="6"/>
  <c r="D320" i="6"/>
  <c r="D322" i="6"/>
  <c r="D324" i="6"/>
  <c r="D326" i="6"/>
  <c r="D328" i="6"/>
  <c r="D330" i="6"/>
  <c r="D332" i="6"/>
  <c r="D334" i="6"/>
  <c r="D336" i="6"/>
  <c r="D338" i="6"/>
  <c r="D340" i="6"/>
  <c r="D342" i="6"/>
  <c r="D344" i="6"/>
  <c r="D346" i="6"/>
  <c r="D348" i="6"/>
  <c r="D350" i="6"/>
  <c r="D352" i="6"/>
  <c r="D354" i="6"/>
  <c r="D356" i="6"/>
  <c r="D358" i="6"/>
  <c r="D360" i="6"/>
  <c r="D362" i="6"/>
  <c r="D364" i="6"/>
  <c r="D366" i="6"/>
  <c r="D368" i="6"/>
  <c r="D370" i="6"/>
  <c r="D372" i="6"/>
  <c r="D374" i="6"/>
  <c r="D376" i="6"/>
  <c r="D378" i="6"/>
  <c r="D380" i="6"/>
  <c r="D382" i="6"/>
  <c r="D384" i="6"/>
  <c r="D386" i="6"/>
  <c r="D388" i="6"/>
  <c r="D390" i="6"/>
  <c r="D392" i="6"/>
  <c r="D394" i="6"/>
  <c r="D396" i="6"/>
  <c r="D398" i="6"/>
  <c r="D400" i="6"/>
  <c r="D402" i="6"/>
  <c r="D404" i="6"/>
  <c r="D406" i="6"/>
  <c r="D408" i="6"/>
  <c r="D410" i="6"/>
  <c r="D412" i="6"/>
  <c r="D414" i="6"/>
  <c r="D416" i="6"/>
  <c r="D418" i="6"/>
  <c r="D420" i="6"/>
  <c r="D422" i="6"/>
  <c r="D424" i="6"/>
  <c r="D426" i="6"/>
  <c r="D428" i="6"/>
  <c r="D430" i="6"/>
  <c r="D432" i="6"/>
  <c r="D434" i="6"/>
  <c r="D436" i="6"/>
  <c r="D438" i="6"/>
  <c r="D440" i="6"/>
  <c r="D442" i="6"/>
  <c r="D444" i="6"/>
  <c r="D446" i="6"/>
  <c r="D448" i="6"/>
  <c r="D450" i="6"/>
  <c r="D452" i="6"/>
  <c r="D454" i="6"/>
  <c r="D456" i="6"/>
  <c r="D458" i="6"/>
  <c r="D460" i="6"/>
  <c r="D461" i="6"/>
  <c r="D463" i="6"/>
  <c r="D465" i="6"/>
  <c r="D467" i="6"/>
  <c r="D469" i="6"/>
  <c r="D471" i="6"/>
  <c r="D473" i="6"/>
  <c r="D475" i="6"/>
  <c r="D477" i="6"/>
  <c r="D479" i="6"/>
  <c r="D481" i="6"/>
  <c r="D483" i="6"/>
  <c r="D485" i="6"/>
  <c r="D487" i="6"/>
  <c r="D489" i="6"/>
  <c r="D491" i="6"/>
  <c r="D493" i="6"/>
  <c r="D495" i="6"/>
  <c r="D497" i="6"/>
  <c r="D499" i="6"/>
  <c r="D501" i="6"/>
  <c r="D503" i="6"/>
  <c r="D505" i="6"/>
  <c r="D507" i="6"/>
  <c r="D509" i="6"/>
  <c r="D511" i="6"/>
  <c r="D513" i="6"/>
  <c r="D515" i="6"/>
  <c r="D517" i="6"/>
  <c r="D519" i="6"/>
  <c r="D521" i="6"/>
  <c r="D523" i="6"/>
  <c r="D525" i="6"/>
  <c r="D527" i="6"/>
  <c r="D529" i="6"/>
  <c r="D531" i="6"/>
  <c r="D533" i="6"/>
  <c r="D535" i="6"/>
  <c r="D537" i="6"/>
  <c r="D539" i="6"/>
  <c r="D541" i="6"/>
  <c r="D543" i="6"/>
  <c r="D545" i="6"/>
  <c r="D547" i="6"/>
  <c r="D549" i="6"/>
  <c r="D551" i="6"/>
  <c r="D553" i="6"/>
  <c r="D555" i="6"/>
  <c r="D557" i="6"/>
  <c r="D559" i="6"/>
  <c r="D561" i="6"/>
  <c r="D563" i="6"/>
  <c r="D565" i="6"/>
  <c r="D567" i="6"/>
  <c r="D569" i="6"/>
  <c r="D571" i="6"/>
  <c r="D573" i="6"/>
  <c r="D575" i="6"/>
  <c r="D577" i="6"/>
  <c r="D579" i="6"/>
  <c r="D581" i="6"/>
  <c r="D583" i="6"/>
  <c r="D585" i="6"/>
  <c r="D587" i="6"/>
  <c r="D589" i="6"/>
  <c r="D591" i="6"/>
  <c r="D593" i="6"/>
  <c r="D595" i="6"/>
  <c r="D597" i="6"/>
  <c r="D599" i="6"/>
  <c r="D601" i="6"/>
  <c r="D603" i="6"/>
  <c r="D605" i="6"/>
  <c r="D607" i="6"/>
  <c r="D609" i="6"/>
  <c r="D611" i="6"/>
  <c r="D613" i="6"/>
  <c r="D615" i="6"/>
  <c r="D617" i="6"/>
  <c r="D619" i="6"/>
  <c r="D621" i="6"/>
  <c r="D623" i="6"/>
  <c r="D625" i="6"/>
  <c r="D627" i="6"/>
  <c r="D629" i="6"/>
  <c r="D631" i="6"/>
  <c r="D462" i="6"/>
  <c r="D464" i="6"/>
  <c r="D466" i="6"/>
  <c r="D468" i="6"/>
  <c r="D470" i="6"/>
  <c r="D472" i="6"/>
  <c r="D474" i="6"/>
  <c r="D476" i="6"/>
  <c r="D478" i="6"/>
  <c r="D480" i="6"/>
  <c r="D482" i="6"/>
  <c r="D484" i="6"/>
  <c r="D486" i="6"/>
  <c r="D488" i="6"/>
  <c r="D490" i="6"/>
  <c r="D492" i="6"/>
  <c r="D494" i="6"/>
  <c r="D496" i="6"/>
  <c r="D498" i="6"/>
  <c r="D500" i="6"/>
  <c r="D502" i="6"/>
  <c r="D504" i="6"/>
  <c r="D506" i="6"/>
  <c r="D508" i="6"/>
  <c r="D510" i="6"/>
  <c r="D512" i="6"/>
  <c r="D514" i="6"/>
  <c r="D516" i="6"/>
  <c r="D518" i="6"/>
  <c r="D520" i="6"/>
  <c r="D522" i="6"/>
  <c r="D524" i="6"/>
  <c r="D526" i="6"/>
  <c r="D528" i="6"/>
  <c r="D530" i="6"/>
  <c r="D532" i="6"/>
  <c r="D534" i="6"/>
  <c r="D536" i="6"/>
  <c r="D538" i="6"/>
  <c r="D540" i="6"/>
  <c r="D542" i="6"/>
  <c r="D544" i="6"/>
  <c r="D546" i="6"/>
  <c r="D548" i="6"/>
  <c r="D550" i="6"/>
  <c r="D552" i="6"/>
  <c r="D554" i="6"/>
  <c r="D556" i="6"/>
  <c r="D558" i="6"/>
  <c r="D560" i="6"/>
  <c r="D562" i="6"/>
  <c r="D564" i="6"/>
  <c r="D566" i="6"/>
  <c r="D568" i="6"/>
  <c r="D570" i="6"/>
  <c r="D572" i="6"/>
  <c r="D574" i="6"/>
  <c r="D576" i="6"/>
  <c r="D578" i="6"/>
  <c r="D580" i="6"/>
  <c r="D582" i="6"/>
  <c r="D584" i="6"/>
  <c r="D586" i="6"/>
  <c r="D588" i="6"/>
  <c r="D590" i="6"/>
  <c r="D592" i="6"/>
  <c r="D594" i="6"/>
  <c r="D596" i="6"/>
  <c r="D598" i="6"/>
  <c r="D600" i="6"/>
  <c r="D602" i="6"/>
  <c r="D604" i="6"/>
  <c r="D606" i="6"/>
  <c r="D608" i="6"/>
  <c r="D610" i="6"/>
  <c r="D612" i="6"/>
  <c r="D614" i="6"/>
  <c r="D616" i="6"/>
  <c r="D618" i="6"/>
  <c r="D620" i="6"/>
  <c r="D622" i="6"/>
  <c r="D624" i="6"/>
  <c r="D626" i="6"/>
  <c r="D628" i="6"/>
  <c r="D630" i="6"/>
  <c r="D632" i="6"/>
  <c r="D634" i="6"/>
  <c r="D636" i="6"/>
  <c r="D638" i="6"/>
  <c r="D640" i="6"/>
  <c r="D642" i="6"/>
  <c r="D644" i="6"/>
  <c r="D646" i="6"/>
  <c r="D648" i="6"/>
  <c r="D650" i="6"/>
  <c r="D652" i="6"/>
  <c r="D654" i="6"/>
  <c r="D656" i="6"/>
  <c r="D658" i="6"/>
  <c r="D660" i="6"/>
  <c r="D662" i="6"/>
  <c r="D664" i="6"/>
  <c r="D666" i="6"/>
  <c r="D668" i="6"/>
  <c r="D670" i="6"/>
  <c r="D672" i="6"/>
  <c r="D674" i="6"/>
  <c r="D676" i="6"/>
  <c r="D678" i="6"/>
  <c r="D680" i="6"/>
  <c r="D682" i="6"/>
  <c r="D684" i="6"/>
  <c r="D686" i="6"/>
  <c r="D688" i="6"/>
  <c r="D690" i="6"/>
  <c r="D692" i="6"/>
  <c r="D694" i="6"/>
  <c r="D696" i="6"/>
  <c r="D698" i="6"/>
  <c r="D700" i="6"/>
  <c r="D702" i="6"/>
  <c r="D704" i="6"/>
  <c r="D706" i="6"/>
  <c r="D708" i="6"/>
  <c r="D710" i="6"/>
  <c r="D712" i="6"/>
  <c r="D714" i="6"/>
  <c r="D716" i="6"/>
  <c r="D718" i="6"/>
  <c r="D720" i="6"/>
  <c r="D722" i="6"/>
  <c r="D724" i="6"/>
  <c r="D726" i="6"/>
  <c r="D728" i="6"/>
  <c r="D730" i="6"/>
  <c r="D732" i="6"/>
  <c r="D734" i="6"/>
  <c r="D736" i="6"/>
  <c r="D738" i="6"/>
  <c r="D740" i="6"/>
  <c r="D742" i="6"/>
  <c r="D744" i="6"/>
  <c r="D746" i="6"/>
  <c r="D748" i="6"/>
  <c r="D750" i="6"/>
  <c r="D752" i="6"/>
  <c r="D754" i="6"/>
  <c r="D756" i="6"/>
  <c r="D758" i="6"/>
  <c r="D760" i="6"/>
  <c r="D762" i="6"/>
  <c r="D764" i="6"/>
  <c r="D766" i="6"/>
  <c r="D768" i="6"/>
  <c r="D770" i="6"/>
  <c r="D772" i="6"/>
  <c r="D774" i="6"/>
  <c r="D776" i="6"/>
  <c r="D778" i="6"/>
  <c r="D780" i="6"/>
  <c r="D782" i="6"/>
  <c r="D784" i="6"/>
  <c r="D786" i="6"/>
  <c r="D788" i="6"/>
  <c r="D790" i="6"/>
  <c r="D792" i="6"/>
  <c r="D794" i="6"/>
  <c r="D796" i="6"/>
  <c r="D798" i="6"/>
  <c r="D800" i="6"/>
  <c r="D802" i="6"/>
  <c r="D804" i="6"/>
  <c r="D806" i="6"/>
  <c r="D808" i="6"/>
  <c r="D810" i="6"/>
  <c r="D812" i="6"/>
  <c r="D814" i="6"/>
  <c r="D816" i="6"/>
  <c r="D818" i="6"/>
  <c r="D820" i="6"/>
  <c r="D822" i="6"/>
  <c r="D824" i="6"/>
  <c r="D826" i="6"/>
  <c r="D828" i="6"/>
  <c r="D830" i="6"/>
  <c r="D832" i="6"/>
  <c r="D834" i="6"/>
  <c r="D836" i="6"/>
  <c r="D838" i="6"/>
  <c r="D840" i="6"/>
  <c r="D842" i="6"/>
  <c r="D844" i="6"/>
  <c r="D846" i="6"/>
  <c r="D848" i="6"/>
  <c r="D850" i="6"/>
  <c r="D852" i="6"/>
  <c r="D854" i="6"/>
  <c r="D856" i="6"/>
  <c r="D858" i="6"/>
  <c r="D860" i="6"/>
  <c r="D862" i="6"/>
  <c r="D864" i="6"/>
  <c r="D866" i="6"/>
  <c r="D868" i="6"/>
  <c r="D870" i="6"/>
  <c r="D872" i="6"/>
  <c r="D874" i="6"/>
  <c r="D876" i="6"/>
  <c r="D878" i="6"/>
  <c r="D880" i="6"/>
  <c r="D882" i="6"/>
  <c r="D884" i="6"/>
  <c r="D886" i="6"/>
  <c r="D888" i="6"/>
  <c r="D890" i="6"/>
  <c r="D892" i="6"/>
  <c r="D894" i="6"/>
  <c r="D896" i="6"/>
  <c r="D898" i="6"/>
  <c r="D900" i="6"/>
  <c r="D902" i="6"/>
  <c r="D904" i="6"/>
  <c r="D906" i="6"/>
  <c r="D908" i="6"/>
  <c r="D910" i="6"/>
  <c r="D912" i="6"/>
  <c r="D914" i="6"/>
  <c r="D916" i="6"/>
  <c r="D918" i="6"/>
  <c r="D920" i="6"/>
  <c r="D922" i="6"/>
  <c r="D924" i="6"/>
  <c r="D926" i="6"/>
  <c r="D928" i="6"/>
  <c r="D930" i="6"/>
  <c r="D932" i="6"/>
  <c r="D934" i="6"/>
  <c r="D936" i="6"/>
  <c r="D938" i="6"/>
  <c r="D940" i="6"/>
  <c r="D942" i="6"/>
  <c r="D944" i="6"/>
  <c r="D946" i="6"/>
  <c r="D948" i="6"/>
  <c r="D950" i="6"/>
  <c r="D952" i="6"/>
  <c r="D954" i="6"/>
  <c r="D956" i="6"/>
  <c r="D958" i="6"/>
  <c r="D960" i="6"/>
  <c r="D962" i="6"/>
  <c r="D964" i="6"/>
  <c r="D966" i="6"/>
  <c r="D968" i="6"/>
  <c r="D970" i="6"/>
  <c r="D633" i="6"/>
  <c r="D635" i="6"/>
  <c r="D637" i="6"/>
  <c r="D639" i="6"/>
  <c r="D641" i="6"/>
  <c r="D643" i="6"/>
  <c r="D645" i="6"/>
  <c r="D647" i="6"/>
  <c r="D649" i="6"/>
  <c r="D651" i="6"/>
  <c r="D653" i="6"/>
  <c r="D655" i="6"/>
  <c r="D657" i="6"/>
  <c r="D659" i="6"/>
  <c r="D661" i="6"/>
  <c r="D663" i="6"/>
  <c r="D665" i="6"/>
  <c r="D667" i="6"/>
  <c r="D669" i="6"/>
  <c r="D671" i="6"/>
  <c r="D673" i="6"/>
  <c r="D675" i="6"/>
  <c r="D677" i="6"/>
  <c r="D679" i="6"/>
  <c r="D681" i="6"/>
  <c r="D683" i="6"/>
  <c r="D685" i="6"/>
  <c r="D687" i="6"/>
  <c r="D689" i="6"/>
  <c r="D691" i="6"/>
  <c r="D693" i="6"/>
  <c r="D695" i="6"/>
  <c r="D697" i="6"/>
  <c r="D699" i="6"/>
  <c r="D701" i="6"/>
  <c r="D703" i="6"/>
  <c r="D705" i="6"/>
  <c r="D707" i="6"/>
  <c r="D709" i="6"/>
  <c r="D711" i="6"/>
  <c r="D713" i="6"/>
  <c r="D715" i="6"/>
  <c r="D717" i="6"/>
  <c r="D719" i="6"/>
  <c r="D721" i="6"/>
  <c r="D723" i="6"/>
  <c r="D725" i="6"/>
  <c r="D727" i="6"/>
  <c r="D729" i="6"/>
  <c r="D731" i="6"/>
  <c r="D733" i="6"/>
  <c r="D735" i="6"/>
  <c r="D737" i="6"/>
  <c r="D739" i="6"/>
  <c r="D741" i="6"/>
  <c r="D743" i="6"/>
  <c r="D745" i="6"/>
  <c r="D747" i="6"/>
  <c r="D749" i="6"/>
  <c r="D751" i="6"/>
  <c r="D753" i="6"/>
  <c r="D755" i="6"/>
  <c r="D757" i="6"/>
  <c r="D759" i="6"/>
  <c r="D761" i="6"/>
  <c r="D763" i="6"/>
  <c r="D765" i="6"/>
  <c r="D767" i="6"/>
  <c r="D769" i="6"/>
  <c r="D771" i="6"/>
  <c r="D773" i="6"/>
  <c r="D775" i="6"/>
  <c r="D777" i="6"/>
  <c r="D779" i="6"/>
  <c r="D781" i="6"/>
  <c r="D783" i="6"/>
  <c r="D785" i="6"/>
  <c r="D787" i="6"/>
  <c r="D789" i="6"/>
  <c r="D791" i="6"/>
  <c r="D793" i="6"/>
  <c r="D795" i="6"/>
  <c r="D797" i="6"/>
  <c r="D799" i="6"/>
  <c r="D801" i="6"/>
  <c r="D803" i="6"/>
  <c r="D805" i="6"/>
  <c r="D807" i="6"/>
  <c r="D809" i="6"/>
  <c r="D811" i="6"/>
  <c r="D813" i="6"/>
  <c r="D815" i="6"/>
  <c r="D817" i="6"/>
  <c r="D819" i="6"/>
  <c r="D821" i="6"/>
  <c r="D823" i="6"/>
  <c r="D825" i="6"/>
  <c r="D827" i="6"/>
  <c r="D829" i="6"/>
  <c r="D831" i="6"/>
  <c r="D833" i="6"/>
  <c r="D835" i="6"/>
  <c r="D837" i="6"/>
  <c r="D839" i="6"/>
  <c r="D841" i="6"/>
  <c r="D843" i="6"/>
  <c r="D845" i="6"/>
  <c r="D847" i="6"/>
  <c r="D849" i="6"/>
  <c r="D851" i="6"/>
  <c r="D853" i="6"/>
  <c r="D855" i="6"/>
  <c r="D857" i="6"/>
  <c r="D859" i="6"/>
  <c r="D861" i="6"/>
  <c r="D863" i="6"/>
  <c r="D865" i="6"/>
  <c r="D867" i="6"/>
  <c r="D869" i="6"/>
  <c r="D871" i="6"/>
  <c r="D873" i="6"/>
  <c r="D875" i="6"/>
  <c r="D877" i="6"/>
  <c r="D879" i="6"/>
  <c r="D881" i="6"/>
  <c r="D883" i="6"/>
  <c r="D885" i="6"/>
  <c r="D887" i="6"/>
  <c r="D889" i="6"/>
  <c r="D891" i="6"/>
  <c r="D893" i="6"/>
  <c r="D895" i="6"/>
  <c r="D897" i="6"/>
  <c r="D899" i="6"/>
  <c r="D901" i="6"/>
  <c r="D903" i="6"/>
  <c r="D905" i="6"/>
  <c r="D907" i="6"/>
  <c r="D909" i="6"/>
  <c r="D911" i="6"/>
  <c r="D913" i="6"/>
  <c r="D915" i="6"/>
  <c r="D917" i="6"/>
  <c r="D919" i="6"/>
  <c r="D921" i="6"/>
  <c r="D923" i="6"/>
  <c r="D925" i="6"/>
  <c r="D927" i="6"/>
  <c r="D929" i="6"/>
  <c r="D931" i="6"/>
  <c r="D933" i="6"/>
  <c r="D935" i="6"/>
  <c r="D937" i="6"/>
  <c r="D939" i="6"/>
  <c r="D941" i="6"/>
  <c r="D943" i="6"/>
  <c r="D945" i="6"/>
  <c r="D947" i="6"/>
  <c r="D949" i="6"/>
  <c r="D951" i="6"/>
  <c r="D953" i="6"/>
  <c r="D955" i="6"/>
  <c r="D957" i="6"/>
  <c r="D959" i="6"/>
  <c r="D961" i="6"/>
  <c r="D963" i="6"/>
  <c r="D965" i="6"/>
  <c r="D967" i="6"/>
  <c r="D969" i="6"/>
  <c r="D972" i="6"/>
  <c r="D974" i="6"/>
  <c r="D976" i="6"/>
  <c r="D978" i="6"/>
  <c r="D980" i="6"/>
  <c r="D982" i="6"/>
  <c r="D984" i="6"/>
  <c r="D986" i="6"/>
  <c r="D988" i="6"/>
  <c r="D990" i="6"/>
  <c r="D992" i="6"/>
  <c r="D994" i="6"/>
  <c r="D996" i="6"/>
  <c r="D998" i="6"/>
  <c r="D1000" i="6"/>
  <c r="D1002" i="6"/>
  <c r="D1004" i="6"/>
  <c r="D1006" i="6"/>
  <c r="D1008" i="6"/>
  <c r="D1010" i="6"/>
  <c r="D1012" i="6"/>
  <c r="D1014" i="6"/>
  <c r="D1016" i="6"/>
  <c r="D1018" i="6"/>
  <c r="D1020" i="6"/>
  <c r="D1022" i="6"/>
  <c r="D1024" i="6"/>
  <c r="D1026" i="6"/>
  <c r="D1028" i="6"/>
  <c r="D1030" i="6"/>
  <c r="D1032" i="6"/>
  <c r="D1034" i="6"/>
  <c r="D1036" i="6"/>
  <c r="D1038" i="6"/>
  <c r="D1040" i="6"/>
  <c r="D1042" i="6"/>
  <c r="D1044" i="6"/>
  <c r="D1046" i="6"/>
  <c r="D1048" i="6"/>
  <c r="D1050" i="6"/>
  <c r="D1052" i="6"/>
  <c r="D1054" i="6"/>
  <c r="D1056" i="6"/>
  <c r="D6" i="6"/>
  <c r="D8" i="6"/>
  <c r="D10" i="6"/>
  <c r="D12" i="6"/>
  <c r="D14" i="6"/>
  <c r="D16" i="6"/>
  <c r="D18" i="6"/>
  <c r="D20" i="6"/>
  <c r="D22" i="6"/>
  <c r="D24" i="6"/>
  <c r="D26" i="6"/>
  <c r="D28" i="6"/>
  <c r="D30" i="6"/>
  <c r="D32" i="6"/>
  <c r="D34" i="6"/>
  <c r="D36" i="6"/>
  <c r="D38" i="6"/>
  <c r="D40" i="6"/>
  <c r="D42" i="6"/>
  <c r="D44" i="6"/>
  <c r="D46" i="6"/>
  <c r="D48" i="6"/>
  <c r="D50" i="6"/>
  <c r="D52" i="6"/>
  <c r="D54" i="6"/>
  <c r="D56" i="6"/>
  <c r="D58" i="6"/>
  <c r="D60" i="6"/>
  <c r="D62" i="6"/>
  <c r="D64" i="6"/>
  <c r="D66" i="6"/>
  <c r="D68" i="6"/>
  <c r="D70" i="6"/>
  <c r="D72" i="6"/>
  <c r="D74" i="6"/>
  <c r="D76" i="6"/>
  <c r="D78" i="6"/>
  <c r="D80" i="6"/>
  <c r="D82" i="6"/>
  <c r="D84" i="6"/>
  <c r="D86" i="6"/>
  <c r="D88" i="6"/>
  <c r="D90" i="6"/>
  <c r="D92" i="6"/>
  <c r="D94" i="6"/>
  <c r="D96" i="6"/>
  <c r="D98" i="6"/>
  <c r="D100" i="6"/>
  <c r="D102" i="6"/>
  <c r="D104" i="6"/>
  <c r="D106" i="6"/>
  <c r="D108" i="6"/>
  <c r="D110" i="6"/>
  <c r="D112" i="6"/>
  <c r="D114" i="6"/>
  <c r="D116" i="6"/>
  <c r="D118" i="6"/>
  <c r="D120" i="6"/>
  <c r="D122" i="6"/>
  <c r="D124" i="6"/>
  <c r="D126" i="6"/>
  <c r="D128" i="6"/>
  <c r="D130" i="6"/>
  <c r="D132" i="6"/>
  <c r="D134" i="6"/>
  <c r="D136" i="6"/>
  <c r="D138" i="6"/>
  <c r="D140" i="6"/>
  <c r="D142" i="6"/>
  <c r="D144" i="6"/>
  <c r="D146" i="6"/>
  <c r="D148" i="6"/>
  <c r="D150" i="6"/>
  <c r="D152" i="6"/>
  <c r="D154" i="6"/>
  <c r="D156" i="6"/>
  <c r="D158" i="6"/>
  <c r="D160" i="6"/>
  <c r="D162" i="6"/>
  <c r="D164" i="6"/>
  <c r="D166" i="6"/>
  <c r="D168" i="6"/>
  <c r="D170" i="6"/>
  <c r="D172" i="6"/>
  <c r="D174" i="6"/>
  <c r="D176" i="6"/>
  <c r="D178" i="6"/>
  <c r="D180" i="6"/>
  <c r="D182" i="6"/>
  <c r="D184" i="6"/>
  <c r="D186" i="6"/>
  <c r="D188" i="6"/>
  <c r="D190" i="6"/>
  <c r="D192" i="6"/>
  <c r="D194" i="6"/>
  <c r="D196" i="6"/>
  <c r="D198" i="6"/>
  <c r="D200" i="6"/>
  <c r="D202" i="6"/>
  <c r="D204" i="6"/>
  <c r="D206" i="6"/>
  <c r="D208" i="6"/>
  <c r="D210" i="6"/>
  <c r="D212" i="6"/>
  <c r="D214" i="6"/>
  <c r="D216" i="6"/>
  <c r="D218" i="6"/>
  <c r="D220" i="6"/>
  <c r="D222" i="6"/>
  <c r="D224" i="6"/>
  <c r="D226" i="6"/>
  <c r="D228" i="6"/>
  <c r="D230" i="6"/>
  <c r="D232" i="6"/>
  <c r="D234" i="6"/>
  <c r="D236" i="6"/>
  <c r="D238" i="6"/>
  <c r="D240" i="6"/>
  <c r="D242" i="6"/>
  <c r="D244" i="6"/>
  <c r="D246" i="6"/>
  <c r="D248" i="6"/>
  <c r="D250" i="6"/>
  <c r="D252" i="6"/>
  <c r="D254" i="6"/>
  <c r="D256" i="6"/>
  <c r="D258" i="6"/>
  <c r="D971" i="6"/>
  <c r="D973" i="6"/>
  <c r="D975" i="6"/>
  <c r="D977" i="6"/>
  <c r="D979" i="6"/>
  <c r="D981" i="6"/>
  <c r="D983" i="6"/>
  <c r="D985" i="6"/>
  <c r="D987" i="6"/>
  <c r="D989" i="6"/>
  <c r="D991" i="6"/>
  <c r="D993" i="6"/>
  <c r="D995" i="6"/>
  <c r="D997" i="6"/>
  <c r="D999" i="6"/>
  <c r="D1001" i="6"/>
  <c r="D1003" i="6"/>
  <c r="D1005" i="6"/>
  <c r="D1007" i="6"/>
  <c r="D1009" i="6"/>
  <c r="D1011" i="6"/>
  <c r="D1013" i="6"/>
  <c r="D1015" i="6"/>
  <c r="D1017" i="6"/>
  <c r="D1019" i="6"/>
  <c r="D1021" i="6"/>
  <c r="D1023" i="6"/>
  <c r="D1025" i="6"/>
  <c r="D1027" i="6"/>
  <c r="D1029" i="6"/>
  <c r="D1031" i="6"/>
  <c r="D1033" i="6"/>
  <c r="D1035" i="6"/>
  <c r="D1037" i="6"/>
  <c r="D1039" i="6"/>
  <c r="D1041" i="6"/>
  <c r="D1043" i="6"/>
  <c r="D1045" i="6"/>
  <c r="D1047" i="6"/>
  <c r="D1049" i="6"/>
  <c r="D1051" i="6"/>
  <c r="D1053" i="6"/>
  <c r="D1055" i="6"/>
  <c r="D5" i="6"/>
  <c r="D7" i="6"/>
  <c r="D9" i="6"/>
  <c r="D11" i="6"/>
  <c r="D13" i="6"/>
  <c r="D15" i="6"/>
  <c r="D17" i="6"/>
  <c r="D19" i="6"/>
  <c r="D21" i="6"/>
  <c r="D23" i="6"/>
  <c r="D25" i="6"/>
  <c r="D27" i="6"/>
  <c r="D29" i="6"/>
  <c r="D31" i="6"/>
  <c r="D33" i="6"/>
  <c r="D35" i="6"/>
  <c r="D37" i="6"/>
  <c r="D39" i="6"/>
  <c r="D41" i="6"/>
  <c r="D43" i="6"/>
  <c r="D45" i="6"/>
  <c r="D47" i="6"/>
  <c r="D49" i="6"/>
  <c r="D51" i="6"/>
  <c r="D53" i="6"/>
  <c r="D55" i="6"/>
  <c r="D57" i="6"/>
  <c r="D59" i="6"/>
  <c r="D61" i="6"/>
  <c r="D63" i="6"/>
  <c r="D65" i="6"/>
  <c r="D67" i="6"/>
  <c r="D69" i="6"/>
  <c r="D71" i="6"/>
  <c r="D73" i="6"/>
  <c r="D75" i="6"/>
  <c r="D77" i="6"/>
  <c r="D79" i="6"/>
  <c r="D81" i="6"/>
  <c r="D83" i="6"/>
  <c r="D85" i="6"/>
  <c r="D87" i="6"/>
  <c r="D89" i="6"/>
  <c r="D91" i="6"/>
  <c r="D93" i="6"/>
  <c r="D95" i="6"/>
  <c r="D97" i="6"/>
  <c r="D99" i="6"/>
  <c r="D101" i="6"/>
  <c r="D103" i="6"/>
  <c r="D105" i="6"/>
  <c r="D107" i="6"/>
  <c r="D109" i="6"/>
  <c r="D111" i="6"/>
  <c r="D113" i="6"/>
  <c r="D115" i="6"/>
  <c r="D117" i="6"/>
  <c r="D119" i="6"/>
  <c r="D121" i="6"/>
  <c r="D123" i="6"/>
  <c r="D125" i="6"/>
  <c r="D127" i="6"/>
  <c r="D129" i="6"/>
  <c r="D131" i="6"/>
  <c r="D133" i="6"/>
  <c r="D135" i="6"/>
  <c r="D137" i="6"/>
  <c r="D139" i="6"/>
  <c r="D141" i="6"/>
  <c r="D143" i="6"/>
  <c r="D145" i="6"/>
  <c r="D147" i="6"/>
  <c r="D149" i="6"/>
  <c r="D151" i="6"/>
  <c r="D153" i="6"/>
  <c r="D155" i="6"/>
  <c r="D157" i="6"/>
  <c r="D159" i="6"/>
  <c r="D161" i="6"/>
  <c r="D163" i="6"/>
  <c r="D165" i="6"/>
  <c r="D167" i="6"/>
  <c r="D169" i="6"/>
  <c r="D171" i="6"/>
  <c r="D173" i="6"/>
  <c r="D175" i="6"/>
  <c r="D177" i="6"/>
  <c r="D179" i="6"/>
  <c r="D181" i="6"/>
  <c r="D183" i="6"/>
  <c r="D185" i="6"/>
  <c r="D187" i="6"/>
  <c r="D189" i="6"/>
  <c r="D191" i="6"/>
  <c r="D193" i="6"/>
  <c r="D195" i="6"/>
  <c r="D197" i="6"/>
  <c r="D199" i="6"/>
  <c r="D201" i="6"/>
  <c r="D203" i="6"/>
  <c r="D205" i="6"/>
  <c r="D207" i="6"/>
  <c r="D209" i="6"/>
  <c r="D211" i="6"/>
  <c r="D213" i="6"/>
  <c r="D215" i="6"/>
  <c r="D217" i="6"/>
  <c r="D219" i="6"/>
  <c r="D221" i="6"/>
  <c r="D223" i="6"/>
  <c r="D225" i="6"/>
  <c r="D227" i="6"/>
  <c r="D229" i="6"/>
  <c r="D231" i="6"/>
  <c r="D233" i="6"/>
  <c r="D235" i="6"/>
  <c r="D237" i="6"/>
  <c r="D239" i="6"/>
  <c r="D241" i="6"/>
  <c r="D243" i="6"/>
  <c r="D245" i="6"/>
  <c r="D247" i="6"/>
  <c r="D249" i="6"/>
  <c r="D251" i="6"/>
  <c r="D253" i="6"/>
  <c r="D255" i="6"/>
  <c r="D257" i="6"/>
  <c r="D259" i="6"/>
  <c r="D261" i="6"/>
  <c r="D263" i="6"/>
  <c r="D265" i="6"/>
  <c r="D267" i="6"/>
  <c r="D269" i="6"/>
  <c r="D271" i="6"/>
  <c r="D273" i="6"/>
  <c r="D275" i="6"/>
  <c r="D277" i="6"/>
  <c r="D279" i="6"/>
  <c r="D281" i="6"/>
  <c r="D283" i="6"/>
  <c r="D285" i="6"/>
  <c r="D287" i="6"/>
  <c r="D289" i="6"/>
  <c r="D291" i="6"/>
  <c r="D260" i="6"/>
  <c r="D262" i="6"/>
  <c r="D264" i="6"/>
  <c r="D266" i="6"/>
  <c r="D268" i="6"/>
  <c r="D270" i="6"/>
  <c r="D272" i="6"/>
  <c r="D274" i="6"/>
  <c r="D276" i="6"/>
  <c r="D278" i="6"/>
  <c r="D280" i="6"/>
  <c r="D282" i="6"/>
  <c r="D284" i="6"/>
  <c r="D286" i="6"/>
  <c r="D288" i="6"/>
  <c r="D290" i="6"/>
  <c r="F12" i="1"/>
  <c r="H15" i="1" l="1"/>
  <c r="D4" i="6" l="1"/>
  <c r="D3" i="6"/>
  <c r="D2" i="6"/>
</calcChain>
</file>

<file path=xl/connections.xml><?xml version="1.0" encoding="utf-8"?>
<connections xmlns="http://schemas.openxmlformats.org/spreadsheetml/2006/main">
  <connection id="1" name="Query from Excel Files" type="1" refreshedVersion="5" background="1" saveData="1">
    <dbPr connection="DSN=Excel Files;DBQ=S:\Public\1.Project Barcode\Database-SNP.xlsx;DefaultDir=S:\Public\1.Project Barcode;DriverId=1046;MaxBufferSize=2048;PageTimeout=5;" command="SELECT `Sheet1$`.`SUPPLIER CODE`, `Sheet1$`.`SAP/No`, `Sheet1$`.Discription, `Sheet1$`.Storage, `Sheet1$`.Supplier, `Sheet1$`.Type, `Sheet1$`.`Type of transfer`, `Sheet1$`.`PSNP Box/Pallet`, `Sheet1$`.`SNP-1  Pcs/Box`, `Sheet1$`.un_SNP1, `Sheet1$`.`SNP-2 Pcs/Carton`, `Sheet1$`.un_SNP2, `Sheet1$`.`SNP-3 Pcs/Sub-Carton`, `Sheet1$`.un_SNP3, `Sheet1$`.`SNP for Issuing Q'ty`, `Sheet1$`.`PDO = 3668`, `Sheet1$`.F17_x000d__x000a_FROM `S:\Public\1.Project Barcode\Database-SNP.xlsx`.`Sheet1$` `Sheet1$`"/>
  </connection>
</connections>
</file>

<file path=xl/sharedStrings.xml><?xml version="1.0" encoding="utf-8"?>
<sst xmlns="http://schemas.openxmlformats.org/spreadsheetml/2006/main" count="7619" uniqueCount="2625">
  <si>
    <t>SAP No.</t>
  </si>
  <si>
    <t>ITEM</t>
  </si>
  <si>
    <t>W/O No.</t>
  </si>
  <si>
    <t>Q'ty</t>
  </si>
  <si>
    <t>Date</t>
  </si>
  <si>
    <t>CP011501104</t>
  </si>
  <si>
    <t>Soldering Wire (Sn 0.7Cu)</t>
  </si>
  <si>
    <t>JR011801404</t>
  </si>
  <si>
    <t>Shipper Label 80*70mm Blank</t>
  </si>
  <si>
    <t>KR011105304</t>
  </si>
  <si>
    <t>BRACKET THERMISTOR K40</t>
  </si>
  <si>
    <t>KR011501004</t>
  </si>
  <si>
    <t>SLEEVE SHRINKABLE,ID3,QIFURUI QFR-H</t>
  </si>
  <si>
    <t>KR011501504</t>
  </si>
  <si>
    <t>SWITCH,INTERLOCK</t>
  </si>
  <si>
    <t>KR011502204</t>
  </si>
  <si>
    <t>TUBE,SHRINKABLE,ID 5,QIFURUI QFR-H</t>
  </si>
  <si>
    <t>KR011504004</t>
  </si>
  <si>
    <t>BRACKET,VENT VALVE</t>
  </si>
  <si>
    <t>KR011506304</t>
  </si>
  <si>
    <t>SEAL,THERMISTOR</t>
  </si>
  <si>
    <t>KR011506404</t>
  </si>
  <si>
    <t>TUBING,SILICONE,L TUBE K40</t>
  </si>
  <si>
    <t>KR011506804</t>
  </si>
  <si>
    <t>GASKET,EXIT NEEDLE</t>
  </si>
  <si>
    <t>KR011507704</t>
  </si>
  <si>
    <t>SCREW M3*10MM P/H BT-TYPE SS304</t>
  </si>
  <si>
    <t>KR011508204</t>
  </si>
  <si>
    <t>SCREW M3.5*12 P/H A-TYPE SS W/D8*0.7T WA</t>
  </si>
  <si>
    <t>KR011509804</t>
  </si>
  <si>
    <t>NUT,M3.5*0.6 HEXAGON,SS</t>
  </si>
  <si>
    <t>KR011512404</t>
  </si>
  <si>
    <t>CONNECTOR,WIRE,CE2,HEAVY POWER,JINBI</t>
  </si>
  <si>
    <t>KR011512604</t>
  </si>
  <si>
    <t>TERMINAL,RING,TINNED BRASS</t>
  </si>
  <si>
    <t>KR011518504</t>
  </si>
  <si>
    <t>JIA CHEN TIE CABLE NYLON L100*W2.5*T1mm</t>
  </si>
  <si>
    <t>KR011518904</t>
  </si>
  <si>
    <t>SiliconeRubberSleeve ID0.133",62mmSUNBOW</t>
  </si>
  <si>
    <t>KR011800204</t>
  </si>
  <si>
    <t>SERIAL NO. LABEL 75mm*25mm</t>
  </si>
  <si>
    <t>KR011801504</t>
  </si>
  <si>
    <t>TAPE,3M,RUBAN SCOTCH TAPE 3/4"W</t>
  </si>
  <si>
    <t>KR011802404</t>
  </si>
  <si>
    <t>CLEAR TAPE,W60MM,T0.46ΜM,1000YARD/ROLL</t>
  </si>
  <si>
    <t>KR011802504</t>
  </si>
  <si>
    <t>SERIAL NO. LABEL 38*14MM VOID</t>
  </si>
  <si>
    <t>KR011804104</t>
  </si>
  <si>
    <t>Label Silver Tamper Seal DIA 50mm Keurig</t>
  </si>
  <si>
    <t>KR051100204</t>
  </si>
  <si>
    <t>Orifice Cover Natural</t>
  </si>
  <si>
    <t>KR051101404</t>
  </si>
  <si>
    <t>Main PCBA Housing,Black</t>
  </si>
  <si>
    <t>KR051101504</t>
  </si>
  <si>
    <t>Filter Frame Black</t>
  </si>
  <si>
    <t>KR051102104</t>
  </si>
  <si>
    <t>Lid Entrance Cap Natural</t>
  </si>
  <si>
    <t>KR051102404</t>
  </si>
  <si>
    <t>Lock Lever Right</t>
  </si>
  <si>
    <t>KR051102504</t>
  </si>
  <si>
    <t>PM Lock Connector Black</t>
  </si>
  <si>
    <t>KR051102904</t>
  </si>
  <si>
    <t>Brew Indicator Transparent</t>
  </si>
  <si>
    <t>KR051103004</t>
  </si>
  <si>
    <t>Door Switch Housing Natural</t>
  </si>
  <si>
    <t>KR051103304</t>
  </si>
  <si>
    <t>Boiler Cover Natural</t>
  </si>
  <si>
    <t>KR051103404</t>
  </si>
  <si>
    <t>PM Slider Lock</t>
  </si>
  <si>
    <t>KR051103504</t>
  </si>
  <si>
    <t>Body,Check Valve</t>
  </si>
  <si>
    <t>KR051103604</t>
  </si>
  <si>
    <t>Power Cord Fixation</t>
  </si>
  <si>
    <t>KR051103704</t>
  </si>
  <si>
    <t>Programing Cable Door Black</t>
  </si>
  <si>
    <t>KR051104804</t>
  </si>
  <si>
    <t>Orifice Base Natural</t>
  </si>
  <si>
    <t>KR051105304</t>
  </si>
  <si>
    <t>Housing Black,Plus</t>
  </si>
  <si>
    <t>KR051105704</t>
  </si>
  <si>
    <t>Tank Transparent,Plus</t>
  </si>
  <si>
    <t>KR051105804</t>
  </si>
  <si>
    <t>Plunger CWT,Black</t>
  </si>
  <si>
    <t>KR051105904</t>
  </si>
  <si>
    <t>Tank Adaptor Black,Plus</t>
  </si>
  <si>
    <t>KR051106004</t>
  </si>
  <si>
    <t>Tank Lid Black,Plus</t>
  </si>
  <si>
    <t>KR051106704</t>
  </si>
  <si>
    <t>Lighting Mask Black</t>
  </si>
  <si>
    <t>KR051106804</t>
  </si>
  <si>
    <t>Light Guide,Black</t>
  </si>
  <si>
    <t>KR051113304</t>
  </si>
  <si>
    <t>Drip Tray Lid,Black,Plus,Vyteen</t>
  </si>
  <si>
    <t>KR051113504</t>
  </si>
  <si>
    <t>KCup Storage Container Black,Plus,Vyteen</t>
  </si>
  <si>
    <t>KR051114404</t>
  </si>
  <si>
    <t>Lid Entrance,PP With Needle</t>
  </si>
  <si>
    <t>KR051117304</t>
  </si>
  <si>
    <t>Drip Tray Body Black,Plus,Vyteen</t>
  </si>
  <si>
    <t>KR051117904</t>
  </si>
  <si>
    <t>K Cup Storage Lid Black,Plus,Vyteen</t>
  </si>
  <si>
    <t>KR051200304</t>
  </si>
  <si>
    <t>Top Housing Black,Pad Printing,Plus</t>
  </si>
  <si>
    <t>KR051500104</t>
  </si>
  <si>
    <t>Water&amp;Air Pump DC 12V</t>
  </si>
  <si>
    <t>KR051500204</t>
  </si>
  <si>
    <t>Vent Valve DC 12V</t>
  </si>
  <si>
    <t>KR051500304</t>
  </si>
  <si>
    <t>Check Valve CV OD-8</t>
  </si>
  <si>
    <t>KR051500504</t>
  </si>
  <si>
    <t>Fuse SFH124R0</t>
  </si>
  <si>
    <t>KR051500604</t>
  </si>
  <si>
    <t>MAIN PCBA 120MM*60MM AS0000002048</t>
  </si>
  <si>
    <t>KR051500804</t>
  </si>
  <si>
    <t>BREW BUTTON COVER PLUS SUS304 T0.3</t>
  </si>
  <si>
    <t>KR051500904</t>
  </si>
  <si>
    <t>LOCK LEVER PIN SUS304Φ3.35*41</t>
  </si>
  <si>
    <t>KR051501004</t>
  </si>
  <si>
    <t>FILTER MESH SUS304 120MESH</t>
  </si>
  <si>
    <t>KR051501104</t>
  </si>
  <si>
    <t>LOCK SPRING SUS304 OD6 Φ0.5 L20.5(P=2.5)</t>
  </si>
  <si>
    <t>KR051501204</t>
  </si>
  <si>
    <t>BUTTON SPRING SUS304 OD3 Φ0.3 L15(P=1.5)</t>
  </si>
  <si>
    <t>KR051501304</t>
  </si>
  <si>
    <t>SPRING CWT SUS304 OD8 Φ0.4 L16.2(P=4.3)</t>
  </si>
  <si>
    <t>KR051501404</t>
  </si>
  <si>
    <t>PM SLIDER LOCK SPRING SUS304 Φ0.4</t>
  </si>
  <si>
    <t>KR051501504</t>
  </si>
  <si>
    <t>E RING SUS304 ID4*OD9*T0.8MM</t>
  </si>
  <si>
    <t>KR051501604</t>
  </si>
  <si>
    <t>K CUP STORAGE CONTAINER FOOT Silicon 50</t>
  </si>
  <si>
    <t>KR051501804</t>
  </si>
  <si>
    <t>PCBA SEAL BASIC Silicon50 Transparent</t>
  </si>
  <si>
    <t>KR051501904</t>
  </si>
  <si>
    <t>SEAL LID Entrance Silicon 20-25 Black</t>
  </si>
  <si>
    <t>KR051502104</t>
  </si>
  <si>
    <t>SEAL TANK ADAPTOR PLUS Silicon 50 Nature</t>
  </si>
  <si>
    <t>KR051502204</t>
  </si>
  <si>
    <t>RUBBER FOOT Silicon ShoreA 50 Black</t>
  </si>
  <si>
    <t>KR051502304</t>
  </si>
  <si>
    <t>LOCATION BASE Silicon ShoreA 60 Black</t>
  </si>
  <si>
    <t>KR051502404</t>
  </si>
  <si>
    <t>DOOR SWITCH CAP Silicon ShoreA 50 Black</t>
  </si>
  <si>
    <t>KR051502504</t>
  </si>
  <si>
    <t>TANK RUBBER BUFFER Silicon ShoreA 50 Blk</t>
  </si>
  <si>
    <t>KR051502604</t>
  </si>
  <si>
    <t>SEAL PLUNGER CWT PLUS Silicon 50 Nature</t>
  </si>
  <si>
    <t>KR051502704</t>
  </si>
  <si>
    <t>SEAL VENT VALVE Silicon ShoreA 50 Black</t>
  </si>
  <si>
    <t>KR051507904</t>
  </si>
  <si>
    <t>Funnel K-Cup Black,Ext.</t>
  </si>
  <si>
    <t>KR051510804</t>
  </si>
  <si>
    <t>HWT THERMISTOR Model for K Mini</t>
  </si>
  <si>
    <t>KR051511004</t>
  </si>
  <si>
    <t>PROGRAMING CONNECTOR Model: 292254-4</t>
  </si>
  <si>
    <t>KR051511104</t>
  </si>
  <si>
    <t>BALANCE WEIGHT Galvanized plate SPCC T2m</t>
  </si>
  <si>
    <t>KR051511804</t>
  </si>
  <si>
    <t>FUSE CLAMP SUS301 T0.5</t>
  </si>
  <si>
    <t>KR051512004</t>
  </si>
  <si>
    <t>SCREW SUS304 Machine Thread M3.5*12</t>
  </si>
  <si>
    <t>KR051512104</t>
  </si>
  <si>
    <t>SCREW SUS304 Machine Thread  M3.5*6</t>
  </si>
  <si>
    <t>KR051512204</t>
  </si>
  <si>
    <t>SPRING WASHER M3.5</t>
  </si>
  <si>
    <t>KR051512304</t>
  </si>
  <si>
    <t>WASHER SPCC ID3.3 OD10.5 T1.0</t>
  </si>
  <si>
    <t>KR051512404</t>
  </si>
  <si>
    <t>PUMP DAMPER NBR Shore A 30</t>
  </si>
  <si>
    <t>KR051512804</t>
  </si>
  <si>
    <t>TUBE OD8 ID4 L285</t>
  </si>
  <si>
    <t>KR051513304</t>
  </si>
  <si>
    <t>KR051513404</t>
  </si>
  <si>
    <t>Door Switch Cable 26AWG UL1430 L=270mm*2</t>
  </si>
  <si>
    <t>KR051513504</t>
  </si>
  <si>
    <t>CWT Probe Wire 26AWG UL1430 L=165mm*1</t>
  </si>
  <si>
    <t>KR051513604</t>
  </si>
  <si>
    <t>Solenoid Valve Cable26AWG UL1430 L=140*2</t>
  </si>
  <si>
    <t>KR051513704</t>
  </si>
  <si>
    <t>Pump Cable 26AWG UL1430 L=125mm*2</t>
  </si>
  <si>
    <t>KR051513804</t>
  </si>
  <si>
    <t>HWT Probe Wires 26AWG UL1430 L=195mm</t>
  </si>
  <si>
    <t>KR051513904</t>
  </si>
  <si>
    <t>CWT Ground Wire 26AWG UL1430 L=175mm</t>
  </si>
  <si>
    <t>KR051514004</t>
  </si>
  <si>
    <t>Heater Neutral Cable16AWG UL3132 L=150mm</t>
  </si>
  <si>
    <t>KR051514204</t>
  </si>
  <si>
    <t>Heater Line Cable 16AWG UL3132 L=190mm</t>
  </si>
  <si>
    <t>KR051514304</t>
  </si>
  <si>
    <t>HWT Gnd Wire 18AWG UL3132 L=170mm*1</t>
  </si>
  <si>
    <t>KR051514404</t>
  </si>
  <si>
    <t>UL20624 0.5PITCH 10PIN TL400-FFC Cable</t>
  </si>
  <si>
    <t>KR051514504</t>
  </si>
  <si>
    <t>Access Port Cable 26AWG UL1430 L=180mm*4</t>
  </si>
  <si>
    <t>KR051514604</t>
  </si>
  <si>
    <t>TUBE SHRINKABLE ID11* 50MML</t>
  </si>
  <si>
    <t>KR051514804</t>
  </si>
  <si>
    <t>POWER CODE 16AWG*3 L=810mm</t>
  </si>
  <si>
    <t>KR051514904</t>
  </si>
  <si>
    <t>Button PCBA PLUS 70mm*60mm AS0000000600</t>
  </si>
  <si>
    <t>KR051515004</t>
  </si>
  <si>
    <t>FOAM 50mm*10mm*T3 PE 28Kg/m3</t>
  </si>
  <si>
    <t>KR051515104</t>
  </si>
  <si>
    <t>SILICONE ADHESIVE SEALANT MOMENTIVE 382</t>
  </si>
  <si>
    <t>KR051515404</t>
  </si>
  <si>
    <t>Power Button Black Painting with Laser</t>
  </si>
  <si>
    <t>KR051515604</t>
  </si>
  <si>
    <t>Nozzle Surround,Metallic Painting Plus</t>
  </si>
  <si>
    <t>KR051515804</t>
  </si>
  <si>
    <t>Bail ,ABS Metallic Painting,Plus</t>
  </si>
  <si>
    <t>KR051516004</t>
  </si>
  <si>
    <t>Strong Button,PS,Black Painting Laser</t>
  </si>
  <si>
    <t>KR051516104</t>
  </si>
  <si>
    <t>Base Black,Metallic Painting Plus</t>
  </si>
  <si>
    <t>KR051516204</t>
  </si>
  <si>
    <t>Drip Tray Touch Point ,Metallic Plus</t>
  </si>
  <si>
    <t>KR051518404</t>
  </si>
  <si>
    <t>Cup Holder Fixation Black,Ext.</t>
  </si>
  <si>
    <t>KR051518504</t>
  </si>
  <si>
    <t>Lock Lever Left,Ext.</t>
  </si>
  <si>
    <t>KR051518604</t>
  </si>
  <si>
    <t>Button PCBA Housing Natural,Ext.</t>
  </si>
  <si>
    <t>KR051522604</t>
  </si>
  <si>
    <t>THERMOSTAT, TCO, OPEN 105C K750</t>
  </si>
  <si>
    <t>KR051522704</t>
  </si>
  <si>
    <t>MOUNT SUS304 T0.5 K750</t>
  </si>
  <si>
    <t>KR051522904</t>
  </si>
  <si>
    <t>HWT SEAL Silicon Shore A 50 Nature K750</t>
  </si>
  <si>
    <t>KR051523004</t>
  </si>
  <si>
    <t>HWT 1460W 120V K750</t>
  </si>
  <si>
    <t>KR051523104</t>
  </si>
  <si>
    <t>Thermal FuseCable16AWG UL3132 L190mmK750</t>
  </si>
  <si>
    <t>KR051523304</t>
  </si>
  <si>
    <t>DripTrayBodyWrap,MetalPaintPlusVyteenExt</t>
  </si>
  <si>
    <t>KR051526604</t>
  </si>
  <si>
    <t>KR051526704</t>
  </si>
  <si>
    <t>KR051526804</t>
  </si>
  <si>
    <t>KR051526904</t>
  </si>
  <si>
    <t>Mesh For Orifice</t>
  </si>
  <si>
    <t>KR051530104</t>
  </si>
  <si>
    <t>PM Slider Black,Ext</t>
  </si>
  <si>
    <t>KR051530904</t>
  </si>
  <si>
    <t>Brew Button Natural,Plus,Ext</t>
  </si>
  <si>
    <t>KR051801904</t>
  </si>
  <si>
    <t>Left Pulp-Plus,347*326*52mm,142g</t>
  </si>
  <si>
    <t>KR051802004</t>
  </si>
  <si>
    <t>Right Pulp-Plus,347*326*52mm,142g</t>
  </si>
  <si>
    <t>KR051802604</t>
  </si>
  <si>
    <t>Welcome Kit-Plus 187.45*139.85mm</t>
  </si>
  <si>
    <t>KR051802704</t>
  </si>
  <si>
    <t>EPE Bag with Printing,450*450*0.5mm</t>
  </si>
  <si>
    <t>KR051802804</t>
  </si>
  <si>
    <t>Gift Box-Plus Black,332*138*359mm</t>
  </si>
  <si>
    <t>KR051802904</t>
  </si>
  <si>
    <t>Master Carton-Plus Black,341*144*369mm</t>
  </si>
  <si>
    <t>KR051808204</t>
  </si>
  <si>
    <t>Call Keurig Insert</t>
  </si>
  <si>
    <t>KR051108004</t>
  </si>
  <si>
    <t>Programing Cable Door Ghost Gray</t>
  </si>
  <si>
    <t>KR051108604</t>
  </si>
  <si>
    <t>Drip Tray Lid Ghost Gray,Plus</t>
  </si>
  <si>
    <t>KR051108904</t>
  </si>
  <si>
    <t>Cold Water Tank Lid Ghost Gray,Plus</t>
  </si>
  <si>
    <t>KR051110104</t>
  </si>
  <si>
    <t>Rear Housing Ghost Gray,Plus</t>
  </si>
  <si>
    <t>KR051110404</t>
  </si>
  <si>
    <t>K Cup Storage Container Ghost Gray,Plus</t>
  </si>
  <si>
    <t>KR051117404</t>
  </si>
  <si>
    <t>Drip Tray Body Studio Gray,Plus</t>
  </si>
  <si>
    <t>KR051118004</t>
  </si>
  <si>
    <t>K Cup Storage Lid Studio Gray,Plus</t>
  </si>
  <si>
    <t>KR051201404</t>
  </si>
  <si>
    <t>Top Housing Ghost Gray,Pad Printing,Plus</t>
  </si>
  <si>
    <t>KR051519604</t>
  </si>
  <si>
    <t>Base Ghost Gray,Plus</t>
  </si>
  <si>
    <t>KR051530304</t>
  </si>
  <si>
    <t>Holder K-Cup Black,Ext</t>
  </si>
  <si>
    <t>KR051806704</t>
  </si>
  <si>
    <t>Gift Box-Plus Studio Gray</t>
  </si>
  <si>
    <t>KR051806804</t>
  </si>
  <si>
    <t>Master Carton-Plus Studio Gray</t>
  </si>
  <si>
    <t>KR051100304</t>
  </si>
  <si>
    <t>Housing Black,Basic</t>
  </si>
  <si>
    <t>KR051100504</t>
  </si>
  <si>
    <t>Tank Transparent,Basic</t>
  </si>
  <si>
    <t>KR051101604</t>
  </si>
  <si>
    <t>Tank Adaptor Black,Basic</t>
  </si>
  <si>
    <t>KR051101904</t>
  </si>
  <si>
    <t>Tank Frame Black Basic</t>
  </si>
  <si>
    <t>KR051107104</t>
  </si>
  <si>
    <t>Holder K-Cup Black</t>
  </si>
  <si>
    <t>KR051113404</t>
  </si>
  <si>
    <t>Drip Tray Lid,Black,Basic,Vyteen</t>
  </si>
  <si>
    <t>KR051114204</t>
  </si>
  <si>
    <t>Drip Tray Bottom Black,Basic Vyteen</t>
  </si>
  <si>
    <t>KR051114304</t>
  </si>
  <si>
    <t>Drip Tray Body WrapBlack,Basic Vyteen</t>
  </si>
  <si>
    <t>KR051200104</t>
  </si>
  <si>
    <t>Top Housing Black,Pad Printing,Basic</t>
  </si>
  <si>
    <t>KR051500704</t>
  </si>
  <si>
    <t>Button PCBA 70mm*60mm AS0000000574</t>
  </si>
  <si>
    <t>KR051502004</t>
  </si>
  <si>
    <t>SEAL TANK ADAPTOR Silicon 80 Nature</t>
  </si>
  <si>
    <t>KR051515204</t>
  </si>
  <si>
    <t>Brew Button ABS Silver Painting Basic</t>
  </si>
  <si>
    <t>KR051515704</t>
  </si>
  <si>
    <t>Bail ABS Sliver Painting Basic</t>
  </si>
  <si>
    <t>KR051524304</t>
  </si>
  <si>
    <t>CWT SEAL Silicon ShoreA 30±5 Transparent</t>
  </si>
  <si>
    <t>KR051801704</t>
  </si>
  <si>
    <t>Left Pulp-Basic,347*326*52mm,146g</t>
  </si>
  <si>
    <t>KR051801804</t>
  </si>
  <si>
    <t>Right Pulp-Basic,347*326*52mm,146g</t>
  </si>
  <si>
    <t>KR051802104</t>
  </si>
  <si>
    <t>Gift Box-Basic Black,332*138*359mm</t>
  </si>
  <si>
    <t>KR051802204</t>
  </si>
  <si>
    <t>Master Carton-Basic Black,341*144*369mm</t>
  </si>
  <si>
    <t>KR051802504</t>
  </si>
  <si>
    <t>Welcome Kit-Basic 187.45*139.85mm</t>
  </si>
  <si>
    <t>KR051804004</t>
  </si>
  <si>
    <t>DI label 127*88.9mm,Black Basic,Target</t>
  </si>
  <si>
    <t>KR051112304</t>
  </si>
  <si>
    <t>Programing Cable Door Matte White</t>
  </si>
  <si>
    <t>KR051202504</t>
  </si>
  <si>
    <t>TopHousing Matte White,PadPrinting,Basic</t>
  </si>
  <si>
    <t>KR051525104</t>
  </si>
  <si>
    <t>BrewButton,MatteWhite PaintingBasic Ext.</t>
  </si>
  <si>
    <t>KR051529904</t>
  </si>
  <si>
    <t>Power Button,Blue Painting with Laser</t>
  </si>
  <si>
    <t>KR051529804</t>
  </si>
  <si>
    <t>Bail,Vyteen ABS Blue 285C Painting,Basic</t>
  </si>
  <si>
    <t>KR051816604</t>
  </si>
  <si>
    <t>GIFT BOX IN-MOLD LBL</t>
  </si>
  <si>
    <t>KR051816704</t>
  </si>
  <si>
    <t>MASTER CARTON IN-MOLD LBL</t>
  </si>
  <si>
    <t>KR051122904</t>
  </si>
  <si>
    <t>COLD WATER TANK FRAME IN-MOLD LBL WHITE</t>
  </si>
  <si>
    <t>KR051123104</t>
  </si>
  <si>
    <t>DRIP TRAY BOTTOM WRAP IN-MOLD LBL WHITE</t>
  </si>
  <si>
    <t>KR051123004</t>
  </si>
  <si>
    <t>DRIP TRAY BOTTOM IN-MOLD LBL WHITE</t>
  </si>
  <si>
    <t>KR051122204</t>
  </si>
  <si>
    <t>Front Panel Nozzle Matte White</t>
  </si>
  <si>
    <t>KR051123204</t>
  </si>
  <si>
    <t>NOZZLE SURROUND IN-MOLD LBL WHITE</t>
  </si>
  <si>
    <t>KR051528804</t>
  </si>
  <si>
    <t>Front Panel Matte White IML Ext.</t>
  </si>
  <si>
    <t>KR051528904</t>
  </si>
  <si>
    <t>Rear Housing Matte White IML Ext.</t>
  </si>
  <si>
    <t>KR051120004</t>
  </si>
  <si>
    <t>Cold Water Tank Frame Ghost Gray,Basic</t>
  </si>
  <si>
    <t>KR051120204</t>
  </si>
  <si>
    <t>Drip Tray Bottom Ghost Gray,Basic</t>
  </si>
  <si>
    <t>KR051120404</t>
  </si>
  <si>
    <t>Drip Tray Bottom Wrap Ghost Gray,Basic</t>
  </si>
  <si>
    <t>KR051107804</t>
  </si>
  <si>
    <t>Rear Housing Ghost Gray,Basic</t>
  </si>
  <si>
    <t>KR051201004</t>
  </si>
  <si>
    <t>Top Housing Gray,Pad Printing,Basic</t>
  </si>
  <si>
    <t>KR051806504</t>
  </si>
  <si>
    <t>Gift Box-Basic Studio Gray</t>
  </si>
  <si>
    <t>KR051806604</t>
  </si>
  <si>
    <t>Master Carton-Basic Studio Gray</t>
  </si>
  <si>
    <t>KR051121104</t>
  </si>
  <si>
    <t>ColdWaterTankFrame Dusty Rose,Basic</t>
  </si>
  <si>
    <t>KR051121204</t>
  </si>
  <si>
    <t>DripTrayBottom Dusty Rose,Basic</t>
  </si>
  <si>
    <t>KR051113104</t>
  </si>
  <si>
    <t>Programing Cable Door Dusty Rose</t>
  </si>
  <si>
    <t>KR051121304</t>
  </si>
  <si>
    <t>DripTrayBottomWrap Dusty Rose,Basic</t>
  </si>
  <si>
    <t>KR051118904</t>
  </si>
  <si>
    <t>Rear Housing Dusty Rose,Basic</t>
  </si>
  <si>
    <t>KR051203104</t>
  </si>
  <si>
    <t>Top Housing Dusty Rose,PadPrinting,Basic</t>
  </si>
  <si>
    <t>KR051815304</t>
  </si>
  <si>
    <t>Gift Box Basic Dusty Rose</t>
  </si>
  <si>
    <t>KR051815204</t>
  </si>
  <si>
    <t>Master Carton Basic Dusty Rose</t>
  </si>
  <si>
    <t>KR051119604</t>
  </si>
  <si>
    <t>Base Smoke Green,Basic</t>
  </si>
  <si>
    <t>KR051121604</t>
  </si>
  <si>
    <t>Cold WaterTank Frame Smoke Green,Basic</t>
  </si>
  <si>
    <t>KR051121704</t>
  </si>
  <si>
    <t>Drip Tray Bottom Smoke Green,Basic</t>
  </si>
  <si>
    <t>KR051119804</t>
  </si>
  <si>
    <t>Programing Cable Door Smoke Green</t>
  </si>
  <si>
    <t>KR051121804</t>
  </si>
  <si>
    <t>DripTrayBottomWrap Smoke Green,Basic</t>
  </si>
  <si>
    <t>KR051119704</t>
  </si>
  <si>
    <t>Front Panel Smoke Green</t>
  </si>
  <si>
    <t>KR051119504</t>
  </si>
  <si>
    <t>Rear Housing Smoke Green,Basic</t>
  </si>
  <si>
    <t>KR051816204</t>
  </si>
  <si>
    <t>Gift Box-Basic Smokey Green</t>
  </si>
  <si>
    <t>KR051816304</t>
  </si>
  <si>
    <t>Master Carton-Basic Smokey Green</t>
  </si>
  <si>
    <t>KR051100704</t>
  </si>
  <si>
    <t>Base Oasis,Basic</t>
  </si>
  <si>
    <t>KR051102004</t>
  </si>
  <si>
    <t>Tank Frame Oasis,Basic</t>
  </si>
  <si>
    <t>KR051107004</t>
  </si>
  <si>
    <t>Drip Tray Cap Oasis, Basic</t>
  </si>
  <si>
    <t>KR051107404</t>
  </si>
  <si>
    <t>DRIP TRAY BODY OASIS,BASIC</t>
  </si>
  <si>
    <t>KR051107204</t>
  </si>
  <si>
    <t>Programing Cable Door Oasis</t>
  </si>
  <si>
    <t>KR051101304</t>
  </si>
  <si>
    <t>DRIP TRAY BODY WRAP OASIS,BASIC</t>
  </si>
  <si>
    <t>KR051100404</t>
  </si>
  <si>
    <t>Housing Oasis,Basic</t>
  </si>
  <si>
    <t>KR051200204</t>
  </si>
  <si>
    <t>Top Housing Oasis,Pad Printing,Basic</t>
  </si>
  <si>
    <t>KR051802304</t>
  </si>
  <si>
    <t>Gift Box-Basic Oasis,332*138*359mm</t>
  </si>
  <si>
    <t>KR051802404</t>
  </si>
  <si>
    <t>Master Carton-Basic Oasis,341*144*369mm</t>
  </si>
  <si>
    <t>Tag. No.</t>
  </si>
  <si>
    <t>Barcode</t>
  </si>
  <si>
    <t>Stock In Q'ty</t>
  </si>
  <si>
    <t>KR051516404</t>
  </si>
  <si>
    <t>KR051107304</t>
  </si>
  <si>
    <t>KR051104004</t>
  </si>
  <si>
    <t>KR051106104</t>
  </si>
  <si>
    <t>KR051105204</t>
  </si>
  <si>
    <t>KR051105404</t>
  </si>
  <si>
    <t>KR051200404</t>
  </si>
  <si>
    <t>KR051105004</t>
  </si>
  <si>
    <t>KR051803004</t>
  </si>
  <si>
    <t>KR051803104</t>
  </si>
  <si>
    <t>KR051104504</t>
  </si>
  <si>
    <t>KR051104704</t>
  </si>
  <si>
    <t>KR051519704</t>
  </si>
  <si>
    <t>KR051110804</t>
  </si>
  <si>
    <t>KR051109004</t>
  </si>
  <si>
    <t>KR051117504</t>
  </si>
  <si>
    <t>KR051110204</t>
  </si>
  <si>
    <t>KR051201504</t>
  </si>
  <si>
    <t>KR051108704</t>
  </si>
  <si>
    <t>KR051807104</t>
  </si>
  <si>
    <t>KR051807204</t>
  </si>
  <si>
    <t>KR051110504</t>
  </si>
  <si>
    <t>KR051118104</t>
  </si>
  <si>
    <t>KR051521804</t>
  </si>
  <si>
    <t>KR051530204</t>
  </si>
  <si>
    <t>KR051533504</t>
  </si>
  <si>
    <t>KR051522004</t>
  </si>
  <si>
    <t>KR051111804</t>
  </si>
  <si>
    <t>KR051117704</t>
  </si>
  <si>
    <t>KR051112004</t>
  </si>
  <si>
    <t>KR051201804</t>
  </si>
  <si>
    <t>KR051117104</t>
  </si>
  <si>
    <t>KR051111704</t>
  </si>
  <si>
    <t>KR051815404</t>
  </si>
  <si>
    <t>KR051815504</t>
  </si>
  <si>
    <t>KR051112204</t>
  </si>
  <si>
    <t>KR051118304</t>
  </si>
  <si>
    <t>Base Red,Metallic Painting Plus</t>
  </si>
  <si>
    <t>Programing Cable Door Red</t>
  </si>
  <si>
    <t>Front Panel Red,Plus</t>
  </si>
  <si>
    <t>Tank Lid Red,Plus</t>
  </si>
  <si>
    <t>Drip Tray Body Red,Plus</t>
  </si>
  <si>
    <t>Housing Red,Plus</t>
  </si>
  <si>
    <t>Top Houisng Red,Pad Printing,Plus</t>
  </si>
  <si>
    <t>Drip Tray Cap Red,Plus</t>
  </si>
  <si>
    <t>Gift Box-Plus Red,332*138*359mm</t>
  </si>
  <si>
    <t>Master Carton-Plus Red,341*144*369mm</t>
  </si>
  <si>
    <t>K Cup Storage Container Red Plus</t>
  </si>
  <si>
    <t>K Cup Storage Container Lid Red, Plus</t>
  </si>
  <si>
    <t>Base Mallard Blue,Plus</t>
  </si>
  <si>
    <t>Programing Cable Door Mallard Blue</t>
  </si>
  <si>
    <t>Cold Water Tank Lid Mallard Blue,Plus</t>
  </si>
  <si>
    <t>Drip Tray Body Evening Teal,Plus</t>
  </si>
  <si>
    <t>Rear Housing Mallard Blue,Plus</t>
  </si>
  <si>
    <t>Top Housing Mallard Blue,Pad Print,Plus</t>
  </si>
  <si>
    <t>Drip Tray Lid Mallard Blue,Plus</t>
  </si>
  <si>
    <t>Gift Box-Plus Evening Teal</t>
  </si>
  <si>
    <t>Master Carton-Plus Evening Teal</t>
  </si>
  <si>
    <t>K Cup Storage Lid Evening Teal,Plus</t>
  </si>
  <si>
    <t>Base Matte WhiteMetallicPaintingPlus Ext</t>
  </si>
  <si>
    <t>Orifice Base Natural,Ext</t>
  </si>
  <si>
    <t>Front Panel Matte White Ext.</t>
  </si>
  <si>
    <t>Front Panel Nozzle Matte White External</t>
  </si>
  <si>
    <t>Cold Water Tank Lid Matte White,Plus</t>
  </si>
  <si>
    <t>Drip Tray Body Matte White,Plus</t>
  </si>
  <si>
    <t>Rear Housing Matte White,Plus</t>
  </si>
  <si>
    <t>Top Housing Matte White,Pad Print,Plus</t>
  </si>
  <si>
    <t>Tank Frame Matte White,Plus</t>
  </si>
  <si>
    <t>Drip Tray Lid Matte White,Plus</t>
  </si>
  <si>
    <t>Gift Box Plus Matte White</t>
  </si>
  <si>
    <t>Master Carton Plus Matte White</t>
  </si>
  <si>
    <t>K Cup Storage Container Matte White,Plus</t>
  </si>
  <si>
    <t>K Cup Storage Lid Matte White,Plus</t>
  </si>
  <si>
    <t>1/3</t>
  </si>
  <si>
    <t>2/3</t>
  </si>
  <si>
    <t>3/3</t>
  </si>
  <si>
    <t>KR0511134041234523</t>
  </si>
  <si>
    <t>KR0511134041234533</t>
  </si>
  <si>
    <t>Part Name   :</t>
  </si>
  <si>
    <t>QTY              :</t>
  </si>
  <si>
    <t>Recive Q'ty</t>
  </si>
  <si>
    <t>Q'ty/Box/Pallet</t>
  </si>
  <si>
    <t xml:space="preserve">Code </t>
  </si>
  <si>
    <t>KR051101504012</t>
  </si>
  <si>
    <t>1/2</t>
  </si>
  <si>
    <t>รับมาจากข้างนอก</t>
  </si>
  <si>
    <t>Barcode  :</t>
  </si>
  <si>
    <t>Q'ty         :</t>
  </si>
  <si>
    <t>KR051113404234513</t>
  </si>
  <si>
    <t>KR051113404011</t>
  </si>
  <si>
    <t>1/1</t>
  </si>
  <si>
    <t>KR0511134044567812</t>
  </si>
  <si>
    <t>KR0511134044567811</t>
  </si>
  <si>
    <t>Loc</t>
  </si>
  <si>
    <t>Location  :</t>
  </si>
  <si>
    <t>A10</t>
  </si>
  <si>
    <t>SAP/No</t>
  </si>
  <si>
    <t>Discription</t>
  </si>
  <si>
    <t>2412000000132-00</t>
  </si>
  <si>
    <t>PC LS2-111H Natural ,xxx</t>
  </si>
  <si>
    <t>BW012000300</t>
  </si>
  <si>
    <t>IRPC ABS GA800 Ivory</t>
  </si>
  <si>
    <t>CP021000202</t>
  </si>
  <si>
    <t>Chimei ABS PA-757 Natural_BS</t>
  </si>
  <si>
    <t>HN011000202</t>
  </si>
  <si>
    <t>ARNITE PBT TV4240 NATURAL</t>
  </si>
  <si>
    <t>HN022000202</t>
  </si>
  <si>
    <t>MEP PC XANTAR G2F 23R 74006 YELLOW RoHS</t>
  </si>
  <si>
    <t>HN022000302</t>
  </si>
  <si>
    <t>GREY 24064 RAL7035 RoHS</t>
  </si>
  <si>
    <t>HN022000402</t>
  </si>
  <si>
    <t>MEP PC XANTARG4F 23R 64006ORANGE RoHS</t>
  </si>
  <si>
    <t>HN022000702</t>
  </si>
  <si>
    <t>RYTON PPS BR111 RoHS</t>
  </si>
  <si>
    <t>HN032000202</t>
  </si>
  <si>
    <t>Starflam RF0052E GY2D690 Grey RoHS</t>
  </si>
  <si>
    <t>KR011000104</t>
  </si>
  <si>
    <t>SABIC PC GE LEXAN 244R-111 NATURE</t>
  </si>
  <si>
    <t>KR011000504</t>
  </si>
  <si>
    <t>Dupont Nylon+GF33 ZYTEL FGFE5171 NC010C</t>
  </si>
  <si>
    <t>KR011000704</t>
  </si>
  <si>
    <t>SAMYANG PC TRIREX 3025G20 BK 4649C</t>
  </si>
  <si>
    <t>KR051000104</t>
  </si>
  <si>
    <t>Lavergne ABS Vyteen Jack Black</t>
  </si>
  <si>
    <t>KR051506404</t>
  </si>
  <si>
    <t>#N/A</t>
  </si>
  <si>
    <t>Tube OD6 ID3 L115</t>
  </si>
  <si>
    <t>Tube OD7 ID4 L380</t>
  </si>
  <si>
    <t>Tube OD7 ID4 L140</t>
  </si>
  <si>
    <t>Tube OD7 ID4 L160</t>
  </si>
  <si>
    <t>KR051530004</t>
  </si>
  <si>
    <t>Tank Adaptor Black,Basic,Ext</t>
  </si>
  <si>
    <t>KR051531004</t>
  </si>
  <si>
    <t>UI PCBA BASIC AS0000002808</t>
  </si>
  <si>
    <t>KR051531104</t>
  </si>
  <si>
    <t>MAIN PCBA AS0000004820</t>
  </si>
  <si>
    <t>KR051535204</t>
  </si>
  <si>
    <t>BUTTON PCBA PLUS 70mm*60mm AS0000002809</t>
  </si>
  <si>
    <t>KR051537004</t>
  </si>
  <si>
    <t>Base Metallic Painting CoolAqua Plus,Ext</t>
  </si>
  <si>
    <t>KR051800804</t>
  </si>
  <si>
    <t>Gift Box K-mini Plus</t>
  </si>
  <si>
    <t>KR051803404</t>
  </si>
  <si>
    <t>Gift Box 332*138*359mm Plus Black CA</t>
  </si>
  <si>
    <t>KR051803504</t>
  </si>
  <si>
    <t>MasterCarton 341*144*369mm Plus Black CA</t>
  </si>
  <si>
    <t>KR051803604</t>
  </si>
  <si>
    <t>Gift Box 332*138*359mm Plus Red CA</t>
  </si>
  <si>
    <t>KR051803704</t>
  </si>
  <si>
    <t>Master Carton 341*144*369mm Plus Red CA</t>
  </si>
  <si>
    <t>KR051804804</t>
  </si>
  <si>
    <t>MASTER CARTON K MINI DRIP TRAY ASSY</t>
  </si>
  <si>
    <t>KR051807504</t>
  </si>
  <si>
    <t>Master Carton Display Plus Evening Teal</t>
  </si>
  <si>
    <t>KR051807704</t>
  </si>
  <si>
    <t>Master Carton Display Plus Studio Gray</t>
  </si>
  <si>
    <t>KR051808804</t>
  </si>
  <si>
    <t>Single Master Carton-Plus Matte White</t>
  </si>
  <si>
    <t>KR051814904</t>
  </si>
  <si>
    <t>Master Carton-Basic Dreamy Blue</t>
  </si>
  <si>
    <t>KR051815004</t>
  </si>
  <si>
    <t>Gift Box-Basic Dreamy Blue</t>
  </si>
  <si>
    <t>KR051816404</t>
  </si>
  <si>
    <t>Single Master Carton BASIC OASIS ECOM</t>
  </si>
  <si>
    <t>KR051816504</t>
  </si>
  <si>
    <t>Single Master Carton BASIC BLK ECOM</t>
  </si>
  <si>
    <t>KR051816804</t>
  </si>
  <si>
    <t>GiftBox 332*138*359mm Plus StudioGray CA</t>
  </si>
  <si>
    <t>KR051816904</t>
  </si>
  <si>
    <t>MasterCarton341*144*369mm PlusStuGray CA</t>
  </si>
  <si>
    <t>KR051817004</t>
  </si>
  <si>
    <t>GiftBox 332*138*359mm PlusEveningTeal CA</t>
  </si>
  <si>
    <t>KR051817104</t>
  </si>
  <si>
    <t>MasterCarton341*144*36mmPlusEveninTealCA</t>
  </si>
  <si>
    <t>KR051817204</t>
  </si>
  <si>
    <t>Gift Box 332*138*359mm Plus Cool Aqua</t>
  </si>
  <si>
    <t>KR051817304</t>
  </si>
  <si>
    <t>MasterCarton341*144*369mm Plus Cool Aqua</t>
  </si>
  <si>
    <t>KR051817404</t>
  </si>
  <si>
    <t>Gift Box 332*138*359mm Basic Poppy Red</t>
  </si>
  <si>
    <t>KR051817504</t>
  </si>
  <si>
    <t>MasterCarton341*144*369mmBasicPoppy Red</t>
  </si>
  <si>
    <t>KR051817604</t>
  </si>
  <si>
    <t>Master Carton Display Plus Cool Aqua</t>
  </si>
  <si>
    <t>KR061502904</t>
  </si>
  <si>
    <t>CONJOIN WATER PUMP CJWP27-AC12B3</t>
  </si>
  <si>
    <t>KR061503004</t>
  </si>
  <si>
    <t>AIR PUMP ELITE</t>
  </si>
  <si>
    <t>KR071000104</t>
  </si>
  <si>
    <t>Lavergne ABS Vyteen K-Black</t>
  </si>
  <si>
    <t>KR071400804</t>
  </si>
  <si>
    <t>ASM CWT KSUPREME PLUS</t>
  </si>
  <si>
    <t>KR071500404</t>
  </si>
  <si>
    <t>CWT ELITE EXT.</t>
  </si>
  <si>
    <t>KR071504404</t>
  </si>
  <si>
    <t>MAIN HOUSING ELITE EXT.</t>
  </si>
  <si>
    <t>KR071506304</t>
  </si>
  <si>
    <t>FLOW THRU HEATER</t>
  </si>
  <si>
    <t>KR071509104</t>
  </si>
  <si>
    <t>OLED ELITE</t>
  </si>
  <si>
    <t>KR071509204</t>
  </si>
  <si>
    <t>UI PCBA ELITE AS0000003063</t>
  </si>
  <si>
    <t>KR071509304</t>
  </si>
  <si>
    <t>MAIN PCBA ELITE AS0000003344</t>
  </si>
  <si>
    <t>KR071509604</t>
  </si>
  <si>
    <t>HANDLE ELITE</t>
  </si>
  <si>
    <t>KR071510904</t>
  </si>
  <si>
    <t>UNIVERSAL MY K CUP ELITE</t>
  </si>
  <si>
    <t>KR071511504</t>
  </si>
  <si>
    <t>OVP K-SUPREME PLUS CWT</t>
  </si>
  <si>
    <t>KR071800104</t>
  </si>
  <si>
    <t>GIFT BOX ELITE COSTCO</t>
  </si>
  <si>
    <t>KR071801104</t>
  </si>
  <si>
    <t>GIFT BOX ELITE USA</t>
  </si>
  <si>
    <t>KR071801204</t>
  </si>
  <si>
    <t>GIFT BOX ELITE CAN</t>
  </si>
  <si>
    <t>KR071801704</t>
  </si>
  <si>
    <t>GIFT BOX ELITE CANADA COSTCO</t>
  </si>
  <si>
    <t>MC032000103</t>
  </si>
  <si>
    <t>SAMYANG TRIREX 3022R-3219 BK(N)</t>
  </si>
  <si>
    <t>MC032000303</t>
  </si>
  <si>
    <t>Sabic,PC,EXL1414T,transperence BK</t>
  </si>
  <si>
    <t>MC032800403</t>
  </si>
  <si>
    <t>CARTON,OVER PACK CLP SERIES,12UP</t>
  </si>
  <si>
    <t>MC032800503</t>
  </si>
  <si>
    <t>CARTON,CLS 50 BUNDLE EGG CRATE OVERPACK</t>
  </si>
  <si>
    <t>ME091001604</t>
  </si>
  <si>
    <t>Dupont Delrin POM 500P NC010 Natural</t>
  </si>
  <si>
    <t>RB091000304</t>
  </si>
  <si>
    <t>TORAY ABS 920-555 Transparent</t>
  </si>
  <si>
    <t>TP012000102</t>
  </si>
  <si>
    <t>BASF Ultramid B3WG6 BK00564 Black</t>
  </si>
  <si>
    <t>3510000202</t>
  </si>
  <si>
    <t>Pallet,1000*1200*130mm</t>
  </si>
  <si>
    <t>1219000000033</t>
  </si>
  <si>
    <t>Solvent T-980 : 1 Kg/GL</t>
  </si>
  <si>
    <t>3000607056800</t>
  </si>
  <si>
    <t>หัว Prob CMM Size:2.0mm. (A-5000-3603)</t>
  </si>
  <si>
    <t>4410311200023</t>
  </si>
  <si>
    <t>Resin Ribbon Material : B110CR Size 80mm</t>
  </si>
  <si>
    <t>4410311200043</t>
  </si>
  <si>
    <t>Resin Ribbon Size 90mm. x 300M.(Dia. 1")</t>
  </si>
  <si>
    <t>4510170000013</t>
  </si>
  <si>
    <t>Thinner SVA 530 : 4Litre/GL</t>
  </si>
  <si>
    <t>4510170000023</t>
  </si>
  <si>
    <t>Thinner SVA 536 : 4Litre/GL</t>
  </si>
  <si>
    <t>4510170000033</t>
  </si>
  <si>
    <t>Thinner SVA 520 : 4Litre/GL</t>
  </si>
  <si>
    <t>4618150400653</t>
  </si>
  <si>
    <t>KIWII PU PLAM FIT GLOVES SIZE S (WHITE)</t>
  </si>
  <si>
    <t>4618150400663</t>
  </si>
  <si>
    <t>KIWII PU PLAM FIT GLOVES SIZE M (WHITE)</t>
  </si>
  <si>
    <t>1219000000012-00</t>
  </si>
  <si>
    <t>Grease 700CC (FS2) Blue</t>
  </si>
  <si>
    <t>1219000000022-00</t>
  </si>
  <si>
    <t>Grease 700CC (MYS) Yellow</t>
  </si>
  <si>
    <t>1219000000032-00</t>
  </si>
  <si>
    <t>Solvent T-980:1 Kg/GL</t>
  </si>
  <si>
    <t>1219160100012-00</t>
  </si>
  <si>
    <t>IPA,100%,xxx</t>
  </si>
  <si>
    <t>1411150000012-00</t>
  </si>
  <si>
    <t>Pencil "Mitsubishi" #7600 Yellow</t>
  </si>
  <si>
    <t>2313150000012-00</t>
  </si>
  <si>
    <t>Grinding Wheel,A 100 NBS(G),Noritake</t>
  </si>
  <si>
    <t>2313150000022-00</t>
  </si>
  <si>
    <t>Grinding Wheel,WA 60J7V75R(1),Noritake</t>
  </si>
  <si>
    <t>2313150000032-00</t>
  </si>
  <si>
    <t>Grinding Wheel,WA120 J7V75R (1),Noritake</t>
  </si>
  <si>
    <t>2313150000042-00</t>
  </si>
  <si>
    <t>Grinding Wheel,WA 80 J 7V75R(1),Noritake</t>
  </si>
  <si>
    <t>2313150000052-00</t>
  </si>
  <si>
    <t>Grinding Wheel,WA120 K7V75R (1),Noritake</t>
  </si>
  <si>
    <t>2313150000062-00</t>
  </si>
  <si>
    <t>Grinding Wheel,WA 150 K7V75R(1),Noritake</t>
  </si>
  <si>
    <t>2324160000012-00</t>
  </si>
  <si>
    <t>Endmill, 0.2x1 HLS2002-010,Unimax</t>
  </si>
  <si>
    <t>2324160000022-00</t>
  </si>
  <si>
    <t>Endmill, 0.3x2 HLS2003-020,Unimax</t>
  </si>
  <si>
    <t>2324160000092-00</t>
  </si>
  <si>
    <t>Endmill, 2.5 C-CES2025,Unimax</t>
  </si>
  <si>
    <t>2324160000162-00</t>
  </si>
  <si>
    <t>Bullnose, 0.6xR0.1X3 HLRS2006-01-030,Uni</t>
  </si>
  <si>
    <t>2324160000172-00</t>
  </si>
  <si>
    <t>Bullnose, 0.8xR0.1x4 HLRS2008-01-040,Uni</t>
  </si>
  <si>
    <t>2324160000182-00</t>
  </si>
  <si>
    <t>Bullnose, 1xR0.1X5 HLRS2010-01-050,Unima</t>
  </si>
  <si>
    <t>2324160000192-00</t>
  </si>
  <si>
    <t>Bullnose1xR0.2X5HLRS2010-02-050UnimaFlag</t>
  </si>
  <si>
    <t>2324160000202-00</t>
  </si>
  <si>
    <t>Bullnose, 2xR0.1X10 HLRS2020-01-100,Unim</t>
  </si>
  <si>
    <t>2324160000222-00</t>
  </si>
  <si>
    <t>Bullnose, 3xR0.5 HLRS4030-05-120,Unimax</t>
  </si>
  <si>
    <t>2324160000232-00</t>
  </si>
  <si>
    <t>Bullnose4xR0.5 HRRS4040-05-12Unimax，Flag</t>
  </si>
  <si>
    <t>2324160000242-00</t>
  </si>
  <si>
    <t>Bullnose, 6xR0.5 HRRS4060-05-18,Unimax</t>
  </si>
  <si>
    <t>2324160000252-00</t>
  </si>
  <si>
    <t>Ballnose, R0.1X1 HLB2002-010,Unimax</t>
  </si>
  <si>
    <t>2324160000262-00</t>
  </si>
  <si>
    <t>Ballnose ,R0.2X2 HLB2004-020,Unimax</t>
  </si>
  <si>
    <t>2324160000272-00</t>
  </si>
  <si>
    <t>Ballnose, R0.3X3 HLB2006-030,Unimax</t>
  </si>
  <si>
    <t>2324160000282-00</t>
  </si>
  <si>
    <t>Ballnose, R0.4X4 HLB2008-040,Unimax</t>
  </si>
  <si>
    <t>2324160000302-00</t>
  </si>
  <si>
    <t>Ballnose, R0.75X8 HLB2015-080,Unimax</t>
  </si>
  <si>
    <t>2324160000322-00</t>
  </si>
  <si>
    <t>Ballnose, R1.5X12 Shank 6 HLB2030-120,Un</t>
  </si>
  <si>
    <t>2324160000332-00</t>
  </si>
  <si>
    <t>Ballnose, R2X12 Shank 6 HLB2040-120,Unim</t>
  </si>
  <si>
    <t>2324160000352-00</t>
  </si>
  <si>
    <t>Ballnose, R4 HB2080-1200,Unimax,Flag</t>
  </si>
  <si>
    <t>2412000000012-00</t>
  </si>
  <si>
    <t>Shrink Film, 22''x1067'' t= 19 mic,xxx</t>
  </si>
  <si>
    <t>2412000000032-00</t>
  </si>
  <si>
    <t>PP Band Plastic, L 15 mm.Yellow ,xxx</t>
  </si>
  <si>
    <t>2412000000042-00</t>
  </si>
  <si>
    <t>Pad Carton, Size XL 350x350,xxx</t>
  </si>
  <si>
    <t>2412000000072-00</t>
  </si>
  <si>
    <t>Conner Protector,CP 50x50x3x 880 mm.,xxx</t>
  </si>
  <si>
    <t>2412000000082-00</t>
  </si>
  <si>
    <t>Conner Protector,CP 50x50x3x1300 mm.,xxx</t>
  </si>
  <si>
    <t>2412000000092-00</t>
  </si>
  <si>
    <t>Stretch Film, 50 cm.x300 M. x 20 Mic,xxx</t>
  </si>
  <si>
    <t>2517390000042-00</t>
  </si>
  <si>
    <t>Fuse,10A 20 mm.,xxx</t>
  </si>
  <si>
    <t>2517390000052-00</t>
  </si>
  <si>
    <t>Fuse,10A 30 mm.,xxx</t>
  </si>
  <si>
    <t>2517390000062-00</t>
  </si>
  <si>
    <t>Fuse, 20A 30 mm.,xxx</t>
  </si>
  <si>
    <t>2517390000082-00</t>
  </si>
  <si>
    <t>Fuse,5A 20 mm.,xxx</t>
  </si>
  <si>
    <t>2517390000092-00</t>
  </si>
  <si>
    <t>Solid state relay,G3NA-240B DC5-24V,xxx</t>
  </si>
  <si>
    <t>3016200200012-00</t>
  </si>
  <si>
    <t>Laminating Film, A4,xxx</t>
  </si>
  <si>
    <t>3100000000082-00</t>
  </si>
  <si>
    <t>Prob CMM,Size 0.3 mm.(A-5000-7800),xxx</t>
  </si>
  <si>
    <t>3100000000112-00</t>
  </si>
  <si>
    <t>Grease,700CC (MY2) Yellow,xxx</t>
  </si>
  <si>
    <t>3100000000122-00</t>
  </si>
  <si>
    <t>Welding,VE900 0.25 mm.P/N VE900,xxx</t>
  </si>
  <si>
    <t>3100000000142-00</t>
  </si>
  <si>
    <t>HDPE Resin,H5840,xxx</t>
  </si>
  <si>
    <t>3100000000152-00</t>
  </si>
  <si>
    <t>CW1200-2C, Size 230 x 280 mm, xxx</t>
  </si>
  <si>
    <t>3116280000012-00</t>
  </si>
  <si>
    <t>Wiper Wipeall  L20,No.96232,xxx</t>
  </si>
  <si>
    <t>3116280000102-00</t>
  </si>
  <si>
    <t>Reduce Brass,1/2"x3/8",xxx</t>
  </si>
  <si>
    <t>3116280000112-00</t>
  </si>
  <si>
    <t>Hygienic Spray,SS-02,xxx</t>
  </si>
  <si>
    <t>3116280000142-00</t>
  </si>
  <si>
    <t>Thread seal tape,0.075mm.x12mm.x10M.,xxx</t>
  </si>
  <si>
    <t>3116280000162-00</t>
  </si>
  <si>
    <t>Texwipe Technicloth Wiper, 9"x9",xxx</t>
  </si>
  <si>
    <t>3116280000172-00</t>
  </si>
  <si>
    <t>CABLE TIE,10" White,xxx</t>
  </si>
  <si>
    <t>3116280000182-00</t>
  </si>
  <si>
    <t>CABLE TIE,12"White,xxx</t>
  </si>
  <si>
    <t>3116280000192-00</t>
  </si>
  <si>
    <t>CABLE TIE,4"White,xxx</t>
  </si>
  <si>
    <t>3116280000202-00</t>
  </si>
  <si>
    <t>CABLE TIE,6"White,xxx</t>
  </si>
  <si>
    <t>3116280000212-00</t>
  </si>
  <si>
    <t>CABLE TIE, 8"White,xxx</t>
  </si>
  <si>
    <t>3116280000272-00</t>
  </si>
  <si>
    <t>Polyester Wiper,size 6"x6" WIP-1006S,xxx</t>
  </si>
  <si>
    <t>3116280000312-00</t>
  </si>
  <si>
    <t>Spray Protection PL28c+(12can/1pac), xxx</t>
  </si>
  <si>
    <t>3116280000322-00</t>
  </si>
  <si>
    <t>Spray oil cleanup PL55(12can/1pac), xxx</t>
  </si>
  <si>
    <t>3116280000352-00</t>
  </si>
  <si>
    <t>Hydraulic Oil 46, PTT</t>
  </si>
  <si>
    <t>3116280000362-00</t>
  </si>
  <si>
    <t>Tape, 3M Plus Black</t>
  </si>
  <si>
    <t>3116280000382-00</t>
  </si>
  <si>
    <t>Cleanroom Sticky Mat, 26" x 45", xxx</t>
  </si>
  <si>
    <t>3116280000392-00</t>
  </si>
  <si>
    <t>Contact Cleaner, SABIN 215,xxx</t>
  </si>
  <si>
    <t>3116280000402-00</t>
  </si>
  <si>
    <t>Band Heater 750W 220V, 68x90mm,xxx</t>
  </si>
  <si>
    <t>3116280000412-00</t>
  </si>
  <si>
    <t>Band Heater 850W 220V, 68x100mm,xxx</t>
  </si>
  <si>
    <t>3116280000422-00</t>
  </si>
  <si>
    <t>Band Heater 1000W 220V, 68x115mm,xxx</t>
  </si>
  <si>
    <t>3120151700012-00</t>
  </si>
  <si>
    <t>Tape 2 Side, 0.5",xxx</t>
  </si>
  <si>
    <t>3120151700022-00</t>
  </si>
  <si>
    <t>Floor Marking Tape, 2" Red,Lion</t>
  </si>
  <si>
    <t>3120151700032-00</t>
  </si>
  <si>
    <t>Floor Marking Tape,2" Yellow,Lion</t>
  </si>
  <si>
    <t>3120151700042-00</t>
  </si>
  <si>
    <t>OPP Tape,Size 2"48 x 45Y ( Brown ),xxx</t>
  </si>
  <si>
    <t>3120151700052-00</t>
  </si>
  <si>
    <t>OPP Tape,Size 2"  48 x 45Y ( Clear ),xxx</t>
  </si>
  <si>
    <t>3120151700062-00</t>
  </si>
  <si>
    <t>Scotchtape 3/4" Louis 1x8x129m ,xxx</t>
  </si>
  <si>
    <t>3120151700072-00</t>
  </si>
  <si>
    <t>Scoth Tape 3M #27</t>
  </si>
  <si>
    <t>3910000000012-00</t>
  </si>
  <si>
    <t>Lamp  Fluorescent,TL-D36W/54,xxx</t>
  </si>
  <si>
    <t>3910000000042-00</t>
  </si>
  <si>
    <t>Fluorescent Ring Lamp,10W 220V.92BDL,xxx</t>
  </si>
  <si>
    <t>4010180000052-00</t>
  </si>
  <si>
    <t>Thermocouple, "K" Size 1.6x120mm,xxx</t>
  </si>
  <si>
    <t>4110000000012-00</t>
  </si>
  <si>
    <t>Battery 9V Alkaline</t>
  </si>
  <si>
    <t>4410310500042-00</t>
  </si>
  <si>
    <t>HP Toner,CE278,xxx</t>
  </si>
  <si>
    <t>4410311200022-00</t>
  </si>
  <si>
    <t>Mixed Ribbon Material:B110A Size 110mmx3</t>
  </si>
  <si>
    <t>4410311200032-00</t>
  </si>
  <si>
    <t>Resin Ribbon Material:B110CR Size 80mmx3</t>
  </si>
  <si>
    <t>4410311200042-00</t>
  </si>
  <si>
    <t>Resin Ribbon Material:B110CR Size 40mmx3</t>
  </si>
  <si>
    <t>4410311200052-00</t>
  </si>
  <si>
    <t>Resin Ribbon Size 90mmx300M.(Dia. 1")</t>
  </si>
  <si>
    <t>4410311200062-00</t>
  </si>
  <si>
    <t>Mixed Ribbon Size 90mmx300 M. (Dia. 1")</t>
  </si>
  <si>
    <t>4410311200072-00</t>
  </si>
  <si>
    <t>Wax Ribbon Size 160mmx300 M. (Dia. 1")</t>
  </si>
  <si>
    <t>4412000000012-00</t>
  </si>
  <si>
    <t>Power Glue,3 G.,Elephant</t>
  </si>
  <si>
    <t>4412000000042-00</t>
  </si>
  <si>
    <t>Scotch Brite, 3"x4",3M</t>
  </si>
  <si>
    <t>4412000000082-00</t>
  </si>
  <si>
    <t>Floy Paper,18x 8.33, Daimond</t>
  </si>
  <si>
    <t>4412000000092-00</t>
  </si>
  <si>
    <t>Pilot Pen,SDR-200 Black,xxx</t>
  </si>
  <si>
    <t>4412000000112-00</t>
  </si>
  <si>
    <t>Cutter,NT BD -100(1/50),xxx</t>
  </si>
  <si>
    <t>4412000000132-00</t>
  </si>
  <si>
    <t>Bag, 4" x 6",xxx</t>
  </si>
  <si>
    <t>4412000000142-00</t>
  </si>
  <si>
    <t>Soft Broom,24",xxx</t>
  </si>
  <si>
    <t>4412000000152-00</t>
  </si>
  <si>
    <t>Waste Cloth,  1/25 kg.,xxx</t>
  </si>
  <si>
    <t>4412000000162-00</t>
  </si>
  <si>
    <t>Dustpan,PVC,xxx</t>
  </si>
  <si>
    <t>4412000000172-00</t>
  </si>
  <si>
    <t>Scotch Brite,6"x9",3M</t>
  </si>
  <si>
    <t>4412000000222-00</t>
  </si>
  <si>
    <t>Dust remover "Sona Dusting Mop 3.8 liter</t>
  </si>
  <si>
    <t>4412000000242-00</t>
  </si>
  <si>
    <t>Staedtler # F blue/318-3F , xxx</t>
  </si>
  <si>
    <t>4412000000252-00</t>
  </si>
  <si>
    <t>Staedtler # F red/318-2F,xxx</t>
  </si>
  <si>
    <t>4412000000332-00</t>
  </si>
  <si>
    <t>LED LAMP ECOFIT T8-18W PHILIPS</t>
  </si>
  <si>
    <t>4412000000342-00</t>
  </si>
  <si>
    <t>LED LAMP ECOFIT T8-8W PHILIPS</t>
  </si>
  <si>
    <t>4618150400032-00</t>
  </si>
  <si>
    <t>Cotton glove, 7 G.,xxx</t>
  </si>
  <si>
    <t>4618150400042-00</t>
  </si>
  <si>
    <t>Cleanroom Nritrile Glove 9",Size M ,xxx</t>
  </si>
  <si>
    <t>4618150400052-00</t>
  </si>
  <si>
    <t>Cleanroom Nritrile Glove 9",Size S ,xxx</t>
  </si>
  <si>
    <t>4618150400062-00</t>
  </si>
  <si>
    <t>Cleanroom Nritrile Glove 9",Size L,xxx</t>
  </si>
  <si>
    <t>4618150400082-00</t>
  </si>
  <si>
    <t>KIWII PU PLAM FIT GLOVES SIZE S (WHITE):</t>
  </si>
  <si>
    <t>4618150400092-00</t>
  </si>
  <si>
    <t>KIWII PU PLAM FIT GLOVES SIZE M (WHITE):</t>
  </si>
  <si>
    <t>4618170000012-00</t>
  </si>
  <si>
    <t>Head Cover (White) (100Pcs/PKT),xxx</t>
  </si>
  <si>
    <t>4618170000022-00</t>
  </si>
  <si>
    <t>TIGERPLAST SPORT TAPE (WHITE) SIZE 1" x</t>
  </si>
  <si>
    <t>4618190100022-01</t>
  </si>
  <si>
    <t>Earplus #509, HPMS509</t>
  </si>
  <si>
    <t>4618200100022-00</t>
  </si>
  <si>
    <t>Dust Mask,2 layer,xxx</t>
  </si>
  <si>
    <t>4618210000012-02</t>
  </si>
  <si>
    <t>HDPE Bag 70*115*0.08</t>
  </si>
  <si>
    <t>5512160000012-00</t>
  </si>
  <si>
    <t>Sticker,A5,Elephant</t>
  </si>
  <si>
    <t>5512160000022-00</t>
  </si>
  <si>
    <t>Sticker TP,5x5 cm.,xx</t>
  </si>
  <si>
    <t>5512160000032-00</t>
  </si>
  <si>
    <t>Sticker TP,4"x3"</t>
  </si>
  <si>
    <t>5512160000042-02</t>
  </si>
  <si>
    <t>Label 102*66mm Copper Print</t>
  </si>
  <si>
    <t>5512160700012-00</t>
  </si>
  <si>
    <t>Sticker,A14,xxx</t>
  </si>
  <si>
    <t>5512160700162-00</t>
  </si>
  <si>
    <t>Sticker,3 cm.Gray (June) ,xxx</t>
  </si>
  <si>
    <t>5512160700172-00</t>
  </si>
  <si>
    <t>Sticker,3cm.Green (March),xxx</t>
  </si>
  <si>
    <t>5512160700182-00</t>
  </si>
  <si>
    <t>Sticker,3cm.Light Blue (November),xxx</t>
  </si>
  <si>
    <t>5512160700192-00</t>
  </si>
  <si>
    <t>Sticker,3cm. White (December),xxx</t>
  </si>
  <si>
    <t>5512160700202-00</t>
  </si>
  <si>
    <t>Sticker,3cm. Dark Pink (October),xxx</t>
  </si>
  <si>
    <t>5512160700212-00</t>
  </si>
  <si>
    <t>Sticker,3cm.Orange (July),xxx</t>
  </si>
  <si>
    <t>5512160700222-00</t>
  </si>
  <si>
    <t>Sticker,3cm.Pink (September),xxx</t>
  </si>
  <si>
    <t>5512160700242-00</t>
  </si>
  <si>
    <t>Sticker,3cm.Red (May),xxx</t>
  </si>
  <si>
    <t>5512160700262-00</t>
  </si>
  <si>
    <t>Sticker,3cm. Brown (August),xxx</t>
  </si>
  <si>
    <t>BM011000104</t>
  </si>
  <si>
    <t>MM CHIMEI ABS POLYLAC PA-757F NATURAL</t>
  </si>
  <si>
    <t>BR311000302</t>
  </si>
  <si>
    <t>GLS 309-162,TPE_BS</t>
  </si>
  <si>
    <t>BR571000300</t>
  </si>
  <si>
    <t>POLYONE TPE GLS 309-162C BLACK</t>
  </si>
  <si>
    <t>BR571080102</t>
  </si>
  <si>
    <t>MB Clariant SB53447219 Blue</t>
  </si>
  <si>
    <t>BR571100102</t>
  </si>
  <si>
    <t>Razor Handle 518 Guard3</t>
  </si>
  <si>
    <t>BR571100202</t>
  </si>
  <si>
    <t>Razor Handle 518 Vector3</t>
  </si>
  <si>
    <t>BR571800102</t>
  </si>
  <si>
    <t>Tray 405*305mm PET0.6mm</t>
  </si>
  <si>
    <t>BR571800202</t>
  </si>
  <si>
    <t>Carton Box OD425*325*335mm AB</t>
  </si>
  <si>
    <t>BW012000100</t>
  </si>
  <si>
    <t>Shandong Dawn PP+GF20 GRPP-120H BK216195</t>
  </si>
  <si>
    <t>BX012800200</t>
  </si>
  <si>
    <t>LDPE Amide&amp;SiliconFreePE Bag8x12x0.08mmT</t>
  </si>
  <si>
    <t>BX012800500</t>
  </si>
  <si>
    <t>Box: (L)17" x 12" x 13" (34x45.5x33 cm.)</t>
  </si>
  <si>
    <t>BX012800501</t>
  </si>
  <si>
    <t>Box:(L)17"x12"x13"(34X45.5X33 cm.)</t>
  </si>
  <si>
    <t>BX142000102</t>
  </si>
  <si>
    <t>VICTREX PEEK 450G Beige RoHS</t>
  </si>
  <si>
    <t>BX142000200</t>
  </si>
  <si>
    <t>Polyplastics PPS GF40% 1140A6 BK RoHS</t>
  </si>
  <si>
    <t>BX142000202</t>
  </si>
  <si>
    <t>BX142000302</t>
  </si>
  <si>
    <t>Polyplastics POM Duracon M90-44 WH RoHS</t>
  </si>
  <si>
    <t>BX142000402</t>
  </si>
  <si>
    <t>Asahi Kasei ABS Stylac 120 White</t>
  </si>
  <si>
    <t>BX142000602</t>
  </si>
  <si>
    <t>Polymer Resources PPX FR2 8382 WH RoHS</t>
  </si>
  <si>
    <t>BX142000702</t>
  </si>
  <si>
    <t>Polymer Resources PPX FR2 2573 Blue RoHS</t>
  </si>
  <si>
    <t>BX142000902</t>
  </si>
  <si>
    <t>Mitsubishi PC Lupilon EFD8000 Milk White</t>
  </si>
  <si>
    <t>BX142080102</t>
  </si>
  <si>
    <t>MB CLARIANT SA73420046-ZN RENOL GREY</t>
  </si>
  <si>
    <t>BX142100202</t>
  </si>
  <si>
    <t>PLUNGER DRIVER CASE (Rear)</t>
  </si>
  <si>
    <t>BX142100302</t>
  </si>
  <si>
    <t>PLUNGER DRIVER CASE (Front)</t>
  </si>
  <si>
    <t>BX142100402</t>
  </si>
  <si>
    <t>PLUNGER BASE</t>
  </si>
  <si>
    <t>BX142100902</t>
  </si>
  <si>
    <t>Occlusion Sensor Support</t>
  </si>
  <si>
    <t>BX142101002</t>
  </si>
  <si>
    <t>Plunger Lever</t>
  </si>
  <si>
    <t>BX142101202</t>
  </si>
  <si>
    <t>Hook Opener</t>
  </si>
  <si>
    <t>BX142101302</t>
  </si>
  <si>
    <t>Plunger Hook Lever</t>
  </si>
  <si>
    <t>BX142101502</t>
  </si>
  <si>
    <t>Pump Management PCBA Bracket</t>
  </si>
  <si>
    <t>BX142102002</t>
  </si>
  <si>
    <t>Slider Bush Holder</t>
  </si>
  <si>
    <t>BX142102102</t>
  </si>
  <si>
    <t>Latch Release Holder</t>
  </si>
  <si>
    <t>BX142102302</t>
  </si>
  <si>
    <t>Slide Clamp Slider</t>
  </si>
  <si>
    <t>BX142102402</t>
  </si>
  <si>
    <t>Latch Release</t>
  </si>
  <si>
    <t>BX142102502</t>
  </si>
  <si>
    <t>Tube Retention Plate</t>
  </si>
  <si>
    <t>BX142102602</t>
  </si>
  <si>
    <t>Wifi Antenna bracket molded, LVP, NVP</t>
  </si>
  <si>
    <t>BX142102702</t>
  </si>
  <si>
    <t>Antenna mouting bracket molded, LVP, NVP</t>
  </si>
  <si>
    <t>BX142400102</t>
  </si>
  <si>
    <t>Block Distal Sensors Assembly</t>
  </si>
  <si>
    <t>CA200018203</t>
  </si>
  <si>
    <t>CAP MLCC C0G 68pF 5% 50V 0402</t>
  </si>
  <si>
    <t>CA200026303</t>
  </si>
  <si>
    <t>Capacitor Ceramic 1nF 0402 C0G 50V</t>
  </si>
  <si>
    <t>CA200027803</t>
  </si>
  <si>
    <t>CHIP CAP,1UF,10%,10V,X5R,0402</t>
  </si>
  <si>
    <t>CA200029603</t>
  </si>
  <si>
    <t>CAP,0.5PF,+/-20%,50VDC,C0G,0402</t>
  </si>
  <si>
    <t>CA200035803</t>
  </si>
  <si>
    <t>CAP 330PF,±10%,50V,0402</t>
  </si>
  <si>
    <t>CA200039603</t>
  </si>
  <si>
    <t>CAP,0.1UF,±10%,16VDC,0402,X7R,-55,125DEG</t>
  </si>
  <si>
    <t>CA200040803</t>
  </si>
  <si>
    <t>CAP,FIXED,.1UF,+10%,-10%,50V-DC,0603</t>
  </si>
  <si>
    <t>CA200042803</t>
  </si>
  <si>
    <t>CAP CER 3900PF 16V 10% X7R 0402</t>
  </si>
  <si>
    <t>CA200045603</t>
  </si>
  <si>
    <t>CAP, CHIP CERAMIC 2200 PF 10% X7R 50 V</t>
  </si>
  <si>
    <t>CA200070603</t>
  </si>
  <si>
    <t>CAP,CHIP,33PF,+-5%,50V-DC,0402,C0G</t>
  </si>
  <si>
    <t>CA200072003</t>
  </si>
  <si>
    <t>CAP,CHIP,1000PF,+10%,-10%,50V-DC,0402</t>
  </si>
  <si>
    <t>CA200072203</t>
  </si>
  <si>
    <t>CHIP CER CAP,39PF,+-5%,50V,C0G,0402</t>
  </si>
  <si>
    <t>CA200075203</t>
  </si>
  <si>
    <t>CAP,FIXED,4.7UF,+-10%,6.3V-DC,0603</t>
  </si>
  <si>
    <t>CA200075403</t>
  </si>
  <si>
    <t>CAP,CER CHIP,2.2UF,20%,6.3V-DC,0402,X5R</t>
  </si>
  <si>
    <t>CA200081503</t>
  </si>
  <si>
    <t>CAP,CER,82PF,+/-5%,50V-DC,C0G,0402</t>
  </si>
  <si>
    <t>CA200082003</t>
  </si>
  <si>
    <t>CAP,CER,1.5PF,+/-.25PF,50V-DC,0402</t>
  </si>
  <si>
    <t>CA200082203</t>
  </si>
  <si>
    <t>CAP,CHIP,1500PF,+/-5%,50V-DC,C0G,0603</t>
  </si>
  <si>
    <t>CA200082303</t>
  </si>
  <si>
    <t>CAP,CER,1PF,+/-.25PF,50V-DC,C0G,0402</t>
  </si>
  <si>
    <t>CA200082403</t>
  </si>
  <si>
    <t>CAP,1500PF, X5R, +/-10%,50V,0402</t>
  </si>
  <si>
    <t>CA200082503</t>
  </si>
  <si>
    <t>CAP,CER,15pF,2%,100/50V,0603</t>
  </si>
  <si>
    <t>CA200082803</t>
  </si>
  <si>
    <t>CAP,CER,56PF,+/-2%,50V-DC,C0G,0603</t>
  </si>
  <si>
    <t>CA200082903</t>
  </si>
  <si>
    <t>CAP,CHIP,.01UF,+/-10%,25V-DC,0402</t>
  </si>
  <si>
    <t>CA200083003</t>
  </si>
  <si>
    <t>CAP,FXD,.75PF,+/-.1PF,50V-DC,C0G,0603</t>
  </si>
  <si>
    <t>CA200083103</t>
  </si>
  <si>
    <t>CAP,CER,22PF,+/-5%,50V-DC,C0G,0402</t>
  </si>
  <si>
    <t>CA200083403</t>
  </si>
  <si>
    <t>CAP,CER,390PF,+/-5%,50V-DC,C0G,0402</t>
  </si>
  <si>
    <t>CA200083503</t>
  </si>
  <si>
    <t>CAP,CER,56PF,+/-5%,50V-DC,C0G,0402</t>
  </si>
  <si>
    <t>CA200083703</t>
  </si>
  <si>
    <t>CAP,FXD,10UF,+/-10%,16V-DC,SM,3216-18</t>
  </si>
  <si>
    <t>CA200083803</t>
  </si>
  <si>
    <t>CAP,CER,15PF,+/-5%,50V-DC,C0G,0402</t>
  </si>
  <si>
    <t>CA200083903</t>
  </si>
  <si>
    <t>CAP,FXD,1UF,+/-10%,6.3V-DC,X5R,0402</t>
  </si>
  <si>
    <t>CA200084103</t>
  </si>
  <si>
    <t>CAP,CER,3PF,+/-.1PF,50V-DC,C0G,0402</t>
  </si>
  <si>
    <t>CA200084403</t>
  </si>
  <si>
    <t>CAP,FXD,.033UF,+/-10%,50V-DC,0603</t>
  </si>
  <si>
    <t>CA200084503</t>
  </si>
  <si>
    <t>CAP,CHIP,.22UF,+/-10%,10V-DC,X5R,0402</t>
  </si>
  <si>
    <t>CA200084603</t>
  </si>
  <si>
    <t>CAP,CHIP,4.7UF,+/-10%,6.3V-DC,0805</t>
  </si>
  <si>
    <t>CA200084703</t>
  </si>
  <si>
    <t>CAP,CER,5.6PF,+/-.1PF,50V-DC,C0G,0402</t>
  </si>
  <si>
    <t>CA200087103</t>
  </si>
  <si>
    <t>CAP,C0G,10PF,+/-1%,50V,0402</t>
  </si>
  <si>
    <t>CA200088003</t>
  </si>
  <si>
    <t>CAP,COG,0.8PF,+/-0.05PF,50V,0402</t>
  </si>
  <si>
    <t>CA200088103</t>
  </si>
  <si>
    <t>CAP,C0G,5.6PF,+/-0.5PF,50V,HQ,L ESR,0402</t>
  </si>
  <si>
    <t>CA200088303</t>
  </si>
  <si>
    <t>CAP,COG,56PF,+/-5%,50V,0603</t>
  </si>
  <si>
    <t>CA200088403</t>
  </si>
  <si>
    <t>CAP,COG,4.7PF,+/-0.25PF,50V,0402</t>
  </si>
  <si>
    <t>CA200088803</t>
  </si>
  <si>
    <t>CAP,C0G,6.8PF,+/-0.25PF,100V,HQ,0603</t>
  </si>
  <si>
    <t>CA200096903</t>
  </si>
  <si>
    <t>CAP,C0G,3.6PF,50V,0402,SMD</t>
  </si>
  <si>
    <t>CA200101503</t>
  </si>
  <si>
    <t>CAP,FXD,1200PF,+10%,-10%,50V-DC,0402,X7R</t>
  </si>
  <si>
    <t>CA200124703</t>
  </si>
  <si>
    <t>CAP,TANT,100 UF,6.3 V,1206/M3216</t>
  </si>
  <si>
    <t>CA200129203</t>
  </si>
  <si>
    <t>CAP,FIXED,CER,0402,2.7PF,0.05PF,50V,C0G</t>
  </si>
  <si>
    <t>CA200129303</t>
  </si>
  <si>
    <t>CAP,FIXED,CER,0402,3.3PF,0.1PF,50V,C0G</t>
  </si>
  <si>
    <t>CA200129403</t>
  </si>
  <si>
    <t>CAP,CHIP,4700PF,+10%,-10%,50V-DC,0402</t>
  </si>
  <si>
    <t>CN200033403</t>
  </si>
  <si>
    <t>CONT,1CONT ANT UNIV AUC 2.5</t>
  </si>
  <si>
    <t>CN200040003</t>
  </si>
  <si>
    <t>CONN,BATTERY,BTB,HDR,2.0PITCH,4POS</t>
  </si>
  <si>
    <t>CN200044403</t>
  </si>
  <si>
    <t>CONN AUD,2P+2P,2.5mmStereo&amp;3.5mmMonoJck</t>
  </si>
  <si>
    <t>CO200004503</t>
  </si>
  <si>
    <t>XTAL,32.768KHZ NOM,32KHZ 30PPM 3.2X2.1MM</t>
  </si>
  <si>
    <t>CO200004603</t>
  </si>
  <si>
    <t>XTAL RESONATOR,CER,1%,COAXIAL,2815MHZ</t>
  </si>
  <si>
    <t>CO200004703</t>
  </si>
  <si>
    <t>XTAL OSC,XO,19.2MHZ,SM</t>
  </si>
  <si>
    <t>CP021000204</t>
  </si>
  <si>
    <t>Chimei ABS PA757 Natural</t>
  </si>
  <si>
    <t>DD200018503</t>
  </si>
  <si>
    <t>DIODE,SUPPRESSOR,TVS,12V,2PIN,SOD-523</t>
  </si>
  <si>
    <t>DD200018603</t>
  </si>
  <si>
    <t>DIODE SHTK,MXR,SM,SOT-323,7V,.2W,3Pin</t>
  </si>
  <si>
    <t>DD200018703</t>
  </si>
  <si>
    <t>DIODE SHTK,ARRAY,PWR,SM,100MA,30V</t>
  </si>
  <si>
    <t>DD200018803</t>
  </si>
  <si>
    <t>DIODE,VARACTOR,15V,3.8pF,2Pin,ESC</t>
  </si>
  <si>
    <t>DD200019003</t>
  </si>
  <si>
    <t>DIODE,SUPR,SM,CERADIODE,5.6VDC,ESD</t>
  </si>
  <si>
    <t>DD200025703</t>
  </si>
  <si>
    <t>LED,BrilliantYellow,Clear,RA,1.7*0.6*1.1</t>
  </si>
  <si>
    <t>DD200026203</t>
  </si>
  <si>
    <t>DIODE,ZEN,MMBZ5233,6V,10MA.225mW,SOT-23</t>
  </si>
  <si>
    <t>FT200012903</t>
  </si>
  <si>
    <t>FLTR,FERRITE BEAD,33OHM,4A,SM,0805</t>
  </si>
  <si>
    <t>FT200013003</t>
  </si>
  <si>
    <t>FLTR,SAW,BANDPASS,915MHZ NOM,50OHM</t>
  </si>
  <si>
    <t>FU200001503</t>
  </si>
  <si>
    <t>FUSE,PTC,3A,6V,SW POLY NANOSMDC150F</t>
  </si>
  <si>
    <t>HN011000302</t>
  </si>
  <si>
    <t>AKULON PA6 K222 KGV4/A BLACK RoHS</t>
  </si>
  <si>
    <t>HN011000402</t>
  </si>
  <si>
    <t>POM Resin Latan9 0052 NATURAL RoHS</t>
  </si>
  <si>
    <t>HN011000602</t>
  </si>
  <si>
    <t>CLARIANT POM RENOL 118276-11 BLUE RoHS</t>
  </si>
  <si>
    <t>HN011060200</t>
  </si>
  <si>
    <t>ARNITE PBT TV4240 NATURAL REGRINDING</t>
  </si>
  <si>
    <t>HN011060202</t>
  </si>
  <si>
    <t>HN011060402</t>
  </si>
  <si>
    <t>PANYANAN POM LATAN9 0052 BLUE REGRINDING</t>
  </si>
  <si>
    <t>HN011060502</t>
  </si>
  <si>
    <t>LUPITAL POM F20-03 NATURAL REGRINDING</t>
  </si>
  <si>
    <t>HN012000200</t>
  </si>
  <si>
    <t>ARNITE PBT TV4240 NATURAL RoHS</t>
  </si>
  <si>
    <t>HN012000502</t>
  </si>
  <si>
    <t>POM F2003-NAT RoHS</t>
  </si>
  <si>
    <t>HN012100202</t>
  </si>
  <si>
    <t>BRACKET BLACK</t>
  </si>
  <si>
    <t>HN012100300</t>
  </si>
  <si>
    <t>BAR SPRING</t>
  </si>
  <si>
    <t>HN012100302</t>
  </si>
  <si>
    <t>HN012100402</t>
  </si>
  <si>
    <t>TRIPPING BAR</t>
  </si>
  <si>
    <t>HN012100502</t>
  </si>
  <si>
    <t>CURT CLOSING</t>
  </si>
  <si>
    <t>HN012100602</t>
  </si>
  <si>
    <t>TIM K CURT CLOSING</t>
  </si>
  <si>
    <t>HN021060202</t>
  </si>
  <si>
    <t>MEP PC XANTAR G2F 23R 74006YELLOWREGRIND</t>
  </si>
  <si>
    <t>HN021060402</t>
  </si>
  <si>
    <t>MEP PC G4F23R 64006ORANGE RAL2003REGRIND</t>
  </si>
  <si>
    <t>HN021060702</t>
  </si>
  <si>
    <t>CHEVRON PPS RYTON BR-111 NATURALREGRIND</t>
  </si>
  <si>
    <t>HN021100102</t>
  </si>
  <si>
    <t>Toggle</t>
  </si>
  <si>
    <t>HN021100202</t>
  </si>
  <si>
    <t>LOCKING CLIP</t>
  </si>
  <si>
    <t>HN021100302</t>
  </si>
  <si>
    <t>RETRACTABLE STOP</t>
  </si>
  <si>
    <t>HN021100402</t>
  </si>
  <si>
    <t>PLATE CENTER PIN</t>
  </si>
  <si>
    <t>HN021100502</t>
  </si>
  <si>
    <t>LIGHT PCP (PLATE CENTER PIN)</t>
  </si>
  <si>
    <t>HN021100600</t>
  </si>
  <si>
    <t>CE MARKING LOCKING CLIP</t>
  </si>
  <si>
    <t>HN021100702</t>
  </si>
  <si>
    <t>1P ORANGE TOGGLE JUNCTION DOM (RAL 2003)</t>
  </si>
  <si>
    <t>HN021100902</t>
  </si>
  <si>
    <t>CONNECTOR BAR TR</t>
  </si>
  <si>
    <t>HN021101002</t>
  </si>
  <si>
    <t>CE LOCKING CLIP EZ9</t>
  </si>
  <si>
    <t>HN022000602</t>
  </si>
  <si>
    <t>SABIC PC LEXAN 3412R GY2D301 RoHS</t>
  </si>
  <si>
    <t>HN022000902</t>
  </si>
  <si>
    <t>Makrolon 9415 GREY 702834 RoHS</t>
  </si>
  <si>
    <t>HN022001002</t>
  </si>
  <si>
    <t>Covestro Makrolon 2805 601529 Green RoHS</t>
  </si>
  <si>
    <t>HN022060902</t>
  </si>
  <si>
    <t>Makrolon 9415 GREY 702834 Regrind</t>
  </si>
  <si>
    <t>HN022101102</t>
  </si>
  <si>
    <t>LOCKING CLIP YELLOW</t>
  </si>
  <si>
    <t>HN032000102</t>
  </si>
  <si>
    <t>Starflam PZ0052E GY2D690 Grey RoHS</t>
  </si>
  <si>
    <t>HN032000302</t>
  </si>
  <si>
    <t>Latamid 66H 5316 Red RoHS</t>
  </si>
  <si>
    <t>HN032000502</t>
  </si>
  <si>
    <t>LATI PA66 H2G25 V0CT1 Grey 2402 RoHS</t>
  </si>
  <si>
    <t>HN032060202</t>
  </si>
  <si>
    <t>Starflam RF0052E GY2D690 Grey Regrind</t>
  </si>
  <si>
    <t>HN032100102</t>
  </si>
  <si>
    <t>Cover 3P</t>
  </si>
  <si>
    <t>HN032100202</t>
  </si>
  <si>
    <t>Aux Cover 3P</t>
  </si>
  <si>
    <t>HN032100302</t>
  </si>
  <si>
    <t>Push To Trip</t>
  </si>
  <si>
    <t>HN032400102</t>
  </si>
  <si>
    <t>Cover / Aux Cover / PTT  3P assy</t>
  </si>
  <si>
    <t>HN032500102</t>
  </si>
  <si>
    <t>(+-) SPH 3X12 RoHS</t>
  </si>
  <si>
    <t>IC200019503</t>
  </si>
  <si>
    <t>IC,150MA LDO,TLV71713P,TI</t>
  </si>
  <si>
    <t>IC200071203</t>
  </si>
  <si>
    <t>IC,BFR,SM,SC70,1.65-5.5V,2CH,6PIN,CMOS</t>
  </si>
  <si>
    <t>IC200071303</t>
  </si>
  <si>
    <t>IC,RF,SW,SPDT,100MHz,2.5GHz,15dB,6pin</t>
  </si>
  <si>
    <t>IC200071403</t>
  </si>
  <si>
    <t>IC,RF PWR AMP,SM,QFN,800MHzmin,4.8V,16P</t>
  </si>
  <si>
    <t>IC200071503</t>
  </si>
  <si>
    <t>IC,DSP,RODINIA LIGHT 1.3</t>
  </si>
  <si>
    <t>IC200071803</t>
  </si>
  <si>
    <t>IC,SDRAM,MEMORY,16,MBIT,BGA,143MHZ</t>
  </si>
  <si>
    <t>IC200071903</t>
  </si>
  <si>
    <t>IC,VOLTAGE,200MA,6PIN,POS1.8V 2.8V</t>
  </si>
  <si>
    <t>IC200072103</t>
  </si>
  <si>
    <t>IC,OP AMP,0PER PKG,SOT-23,5V,5PIN,SC-70</t>
  </si>
  <si>
    <t>IC200074503</t>
  </si>
  <si>
    <t>IC,AUDIO AMP SPEAKER,2W,6V,ESD,10PIN</t>
  </si>
  <si>
    <t>IC200082803</t>
  </si>
  <si>
    <t>IC,OP AMP,SC-70,LOW POWER,5P,1.8V,CMOS</t>
  </si>
  <si>
    <t>IC200091603</t>
  </si>
  <si>
    <t>IC,Volt Supervisor,2.64V,3PIN,SOT23</t>
  </si>
  <si>
    <t>IC200119703</t>
  </si>
  <si>
    <t>IC,FLASH MEMORY,16MBIT,256BYTE,WLCSP-8</t>
  </si>
  <si>
    <t>IC200121603</t>
  </si>
  <si>
    <t>IC,DSP,BGA196P,32BITS,320KBYTE</t>
  </si>
  <si>
    <t>IC200122603</t>
  </si>
  <si>
    <t>IC,SW,SPDT,2-5.5V,30Ohm,ESD,6PIN,SC-88</t>
  </si>
  <si>
    <t>ID200027703</t>
  </si>
  <si>
    <t>IDCTR,RF,FXD,15NH,5%,250MHz,1.1A,0402</t>
  </si>
  <si>
    <t>ID200027803</t>
  </si>
  <si>
    <t>IDCTR CHIP,BEAD,470 Ohm,0402,TR</t>
  </si>
  <si>
    <t>ID200027903</t>
  </si>
  <si>
    <t>IDCTR,CHIP,30%,50MA,1OHM,FERR,SM,0402</t>
  </si>
  <si>
    <t>ID200028003</t>
  </si>
  <si>
    <t>IDCTR,25%,200MA,.6OHM,FERR,SM,0402</t>
  </si>
  <si>
    <t>ID200028103</t>
  </si>
  <si>
    <t>IDCTR,FXD,100NH,5%,300mA,900mOhm,0603</t>
  </si>
  <si>
    <t>ID200028203</t>
  </si>
  <si>
    <t>IDCTR,RF,8.1nH,2%,400MHz,130Q,4.4A,DCR</t>
  </si>
  <si>
    <t>ID200028303</t>
  </si>
  <si>
    <t>XFMR,50 OHM,1.0dB,DCR .35 OHM,0805</t>
  </si>
  <si>
    <t>ID200028403</t>
  </si>
  <si>
    <t>IDCTR,RF,8.8NH,2%,1.6A,800MHz,100Q</t>
  </si>
  <si>
    <t>ID200028603</t>
  </si>
  <si>
    <t>IDCTR,CHIP,4.7NH,300MA,.16OHM,CER,10Q</t>
  </si>
  <si>
    <t>ID200028803</t>
  </si>
  <si>
    <t>IDCTR,CHIP,10NH,5%,300MA,.26OHM,CER,12 Q</t>
  </si>
  <si>
    <t>ID200028903</t>
  </si>
  <si>
    <t>IDCTR,WW,27NH,5%,400MA,CER,SM,0402,49Q</t>
  </si>
  <si>
    <t>ID200029003</t>
  </si>
  <si>
    <t>IDCTR,WW,12NH,5%,640MA,CER,120KHZ,53Q</t>
  </si>
  <si>
    <t>ID200029103</t>
  </si>
  <si>
    <t>IDCTR,WW,7.5NH,5%,680MA,.1OHM,CER,60Q</t>
  </si>
  <si>
    <t>ID200029203</t>
  </si>
  <si>
    <t>IDCTR,CHIP,3.9NH,300MA,.14OHM,CER,10Q</t>
  </si>
  <si>
    <t>ID200029303</t>
  </si>
  <si>
    <t>IDCTR,WW,56NH,2%,600MA,.31OHM,CER,0603</t>
  </si>
  <si>
    <t>ID200029403</t>
  </si>
  <si>
    <t>IDCTR,390NH,10%,200MA,.53OHM,0805</t>
  </si>
  <si>
    <t>ID200049103</t>
  </si>
  <si>
    <t>INDUCTOR, MULTI-LAY, 1.5NH 0.3%, 0402</t>
  </si>
  <si>
    <t>ID200055403</t>
  </si>
  <si>
    <t>IDCTR,CHIP,100nH,±5%,300mA,1.6 OHM,0603</t>
  </si>
  <si>
    <t>ID200057603</t>
  </si>
  <si>
    <t>IDCTR,Chip,8.2nH,5%,700mA,0.115OHM,0603</t>
  </si>
  <si>
    <t>ID200058103</t>
  </si>
  <si>
    <t>IDCTR,CHIP,120nH,2%,.65OHM,0.3A,Q32,0603</t>
  </si>
  <si>
    <t>ID200058203</t>
  </si>
  <si>
    <t>IDCTR,Chip,4.7nH,2%,0.075OHM,1500mA,0402</t>
  </si>
  <si>
    <t>ID200058703</t>
  </si>
  <si>
    <t>IDCTR,Chip,6.2nH,2%,0.055OHM,1.6A,0402</t>
  </si>
  <si>
    <t>KR011000204</t>
  </si>
  <si>
    <t>HYOSUNG PP J801R</t>
  </si>
  <si>
    <t>KR011000304</t>
  </si>
  <si>
    <t>DENKA PS STYROL MW-1-321</t>
  </si>
  <si>
    <t>KR011000904</t>
  </si>
  <si>
    <t>Idemitsu Kosan SPS+GF30 WA212 Natural</t>
  </si>
  <si>
    <t>KR011080104</t>
  </si>
  <si>
    <t>MB NNH K9AA4 ABS 757 BLACK 4%</t>
  </si>
  <si>
    <t>KR011080304</t>
  </si>
  <si>
    <t>MB SaleeColor MPBK13142 Black PP J801R</t>
  </si>
  <si>
    <t>KR011080404</t>
  </si>
  <si>
    <t>MB Clariant PE-AEGZ BK 4% POM 500P</t>
  </si>
  <si>
    <t>KR011500504</t>
  </si>
  <si>
    <t>SUPER LUBE 41050 GREASE</t>
  </si>
  <si>
    <t>KR011502004</t>
  </si>
  <si>
    <t>DOW CORNING #340</t>
  </si>
  <si>
    <t>KR011504304</t>
  </si>
  <si>
    <t>NEEDLE, ENTRANCE, 3SLOTS EXTENDED</t>
  </si>
  <si>
    <t>KR011504404</t>
  </si>
  <si>
    <t>NEEDLE EXIT,CLOSED END,SINGLE SLOT</t>
  </si>
  <si>
    <t>KR011509104</t>
  </si>
  <si>
    <t>SCREW SUS304 M2.2*10mm P/H BT-TYPE</t>
  </si>
  <si>
    <t>KR011509504</t>
  </si>
  <si>
    <t>SCREW SUS304 M3*6 P/H BT-TYPE</t>
  </si>
  <si>
    <t>KR011510604</t>
  </si>
  <si>
    <t>E-RING M3 ELITE</t>
  </si>
  <si>
    <t>KR011801804</t>
  </si>
  <si>
    <t>LDPE BAG W4.5"*12"*0.05MM+/-0.002</t>
  </si>
  <si>
    <t>KR011802004</t>
  </si>
  <si>
    <t>TAPE W12MM*L50Y</t>
  </si>
  <si>
    <t>KR051080104</t>
  </si>
  <si>
    <t>MB NHH K6YC7 Oasis 4% ABS 757</t>
  </si>
  <si>
    <t>KR051080204</t>
  </si>
  <si>
    <t>MB NHH K3YD6 Jester Red 4% ABS 757</t>
  </si>
  <si>
    <t>KR051080304</t>
  </si>
  <si>
    <t>MB,NHH K6YE1,Oasis,4%,PP J801R</t>
  </si>
  <si>
    <t>KR051080404</t>
  </si>
  <si>
    <t>MB,NHH K3YH4,Red,4%,PP J801R</t>
  </si>
  <si>
    <t>KR051080504</t>
  </si>
  <si>
    <t>MB,NHH K7ZB1,Ghost Gray,4%,PP J801R</t>
  </si>
  <si>
    <t>KR051080604</t>
  </si>
  <si>
    <t>MB,NHH K7ZB2,Ghost Gray,4%,ABS 757</t>
  </si>
  <si>
    <t>KR051080704</t>
  </si>
  <si>
    <t>MB,NHH K5XL6,Mallard Blue,4%,PP J801R</t>
  </si>
  <si>
    <t>KR051080804</t>
  </si>
  <si>
    <t>MB,NHH K5XL8,Mallard Blue,4%,ABS 757</t>
  </si>
  <si>
    <t>KR051080904</t>
  </si>
  <si>
    <t>MB,NHH K5XL9,Stone Blue,4%,ABS 757</t>
  </si>
  <si>
    <t>KR051081004</t>
  </si>
  <si>
    <t>MB,NHH K5XL7,Stone Blue,4%,PP J801R</t>
  </si>
  <si>
    <t>KR051081104</t>
  </si>
  <si>
    <t>MB,NHH K01029,Matte White,4%,ABS 757</t>
  </si>
  <si>
    <t>KR051081204</t>
  </si>
  <si>
    <t>MB,NHH K01030,Matte White,4%,PP J801R</t>
  </si>
  <si>
    <t>KR051081304</t>
  </si>
  <si>
    <t>MB,NHH K3YV3,Dusty Rose,4%,ABS 757</t>
  </si>
  <si>
    <t>KR051081404</t>
  </si>
  <si>
    <t>MB,NHH K3YW4,Dusty Rose,4%,PP J801R</t>
  </si>
  <si>
    <t>KR051081804</t>
  </si>
  <si>
    <t>MB NHH K6YX3 SMOKE GREEN 4% ABS 757</t>
  </si>
  <si>
    <t>KR051081904</t>
  </si>
  <si>
    <t>MB NHH K6YX4 SMOKE GREEN 4% PP J801R</t>
  </si>
  <si>
    <t>KR051082104</t>
  </si>
  <si>
    <t>MB NHH K3ZZ5 POPPY RED 1795C 4%PP RJ801</t>
  </si>
  <si>
    <t>KR051082204</t>
  </si>
  <si>
    <t>MB NHH K3ZZ8 POPPY RED 1795C 4% ABS757</t>
  </si>
  <si>
    <t>KR051082304</t>
  </si>
  <si>
    <t>MB NHH K50132 COOL AQUA 2198C 4%PP RJ801</t>
  </si>
  <si>
    <t>KR051082404</t>
  </si>
  <si>
    <t>MB NHH K50133 COOL AQUA 2198C 4%ABS757</t>
  </si>
  <si>
    <t>KR051091004</t>
  </si>
  <si>
    <t>JUJO INK 100 SERIES SUPER GLOSS GREEN</t>
  </si>
  <si>
    <t>KR051091204</t>
  </si>
  <si>
    <t>JUJO INK 100 SERIES SUPER GLOSS DARKGRAY</t>
  </si>
  <si>
    <t>KR051100904</t>
  </si>
  <si>
    <t>Top Housing Black,Basic</t>
  </si>
  <si>
    <t>KR051102704</t>
  </si>
  <si>
    <t>UI Cover Black,Basic</t>
  </si>
  <si>
    <t>KR051102804</t>
  </si>
  <si>
    <t>UI Cover Oasis,Basic</t>
  </si>
  <si>
    <t>KR051105504</t>
  </si>
  <si>
    <t>Top Housing Black,Plus</t>
  </si>
  <si>
    <t>KR051105604</t>
  </si>
  <si>
    <t>Top Housing Red,Plus</t>
  </si>
  <si>
    <t>KR051106404</t>
  </si>
  <si>
    <t>UI Cover Black,Plus</t>
  </si>
  <si>
    <t>KR051106504</t>
  </si>
  <si>
    <t>UI Cover Red,Plus</t>
  </si>
  <si>
    <t>KR051108104</t>
  </si>
  <si>
    <t>UI Cover Ghost Gray,Basic</t>
  </si>
  <si>
    <t>KR051108204</t>
  </si>
  <si>
    <t>Top Housing Ghost Gray,Basic</t>
  </si>
  <si>
    <t>KR051108304</t>
  </si>
  <si>
    <t>UI Cover Ghost Gray,Plus</t>
  </si>
  <si>
    <t>KR051108404</t>
  </si>
  <si>
    <t>UI Cover Mallard Blue,Plus</t>
  </si>
  <si>
    <t>KR051109504</t>
  </si>
  <si>
    <t>4860Housing Ghost Gray,Plus</t>
  </si>
  <si>
    <t>KR051109604</t>
  </si>
  <si>
    <t>Top Housing Mallard Blue,Plus</t>
  </si>
  <si>
    <t>K Cup StorageContainer Mallard Blue,Plus</t>
  </si>
  <si>
    <t>KR051111604</t>
  </si>
  <si>
    <t>UI Cover Matte White,Plus</t>
  </si>
  <si>
    <t>KR051114604</t>
  </si>
  <si>
    <t>UI Cover Matte White,Basic</t>
  </si>
  <si>
    <t>KR051114904</t>
  </si>
  <si>
    <t>Top Housing Matte White,Basic</t>
  </si>
  <si>
    <t>KR051118504</t>
  </si>
  <si>
    <t>UI Cover Dusty Rose,Basic</t>
  </si>
  <si>
    <t>KR051118804</t>
  </si>
  <si>
    <t>Top Housing Dusty Rose,Basic</t>
  </si>
  <si>
    <t>KR051119404</t>
  </si>
  <si>
    <t>Top Housing Smoke Green,Basic</t>
  </si>
  <si>
    <t>KR051400204</t>
  </si>
  <si>
    <t>K Mini Coffee Machine Black Plus USA</t>
  </si>
  <si>
    <t>KR051402704</t>
  </si>
  <si>
    <t>K Mini Brewer Oasis BasicTarget DI 35549</t>
  </si>
  <si>
    <t>KR051405104</t>
  </si>
  <si>
    <t>KEUR BRWR MINIB STU GRAY TARGET DI 35549</t>
  </si>
  <si>
    <t>KR051413404</t>
  </si>
  <si>
    <t>KEUR KCUP BRWR MINIB BLK ECOM</t>
  </si>
  <si>
    <t>KR051414504</t>
  </si>
  <si>
    <t>KEUR BRWR MINIB IN-MOLD LBL</t>
  </si>
  <si>
    <t>KR051503304</t>
  </si>
  <si>
    <t>DRIP TRAY Body Wrap Basic Black</t>
  </si>
  <si>
    <t>KR051503604</t>
  </si>
  <si>
    <t>Drip Tray Cap Basic Oasis,External</t>
  </si>
  <si>
    <t>KR051505304</t>
  </si>
  <si>
    <t>Base Basic Black Ext.</t>
  </si>
  <si>
    <t>KR051505404</t>
  </si>
  <si>
    <t>Base Basic Oasis Ext.</t>
  </si>
  <si>
    <t>KR051507304</t>
  </si>
  <si>
    <t>Front Panel Basic Oasis,Ext</t>
  </si>
  <si>
    <t>KR051507404</t>
  </si>
  <si>
    <t>Front Panel Black Ext.</t>
  </si>
  <si>
    <t>KR051509904</t>
  </si>
  <si>
    <t>Tank Lid Black,Basic,Ext</t>
  </si>
  <si>
    <t>KR051510004</t>
  </si>
  <si>
    <t>Tank Lid Oasis,Basic,Ext</t>
  </si>
  <si>
    <t>KR051511204</t>
  </si>
  <si>
    <t>LEVEL SENSOR PROBE2 TANK ADAPTOR SUS316</t>
  </si>
  <si>
    <t>KR051511704</t>
  </si>
  <si>
    <t>ORIFICE METAL</t>
  </si>
  <si>
    <t>KR051512604</t>
  </si>
  <si>
    <t>O RING RELIEF VALVE Silicon Shore A 50</t>
  </si>
  <si>
    <t>KR051515304</t>
  </si>
  <si>
    <t>Lid Entrance PP With Needle,Ext</t>
  </si>
  <si>
    <t>KR051515504</t>
  </si>
  <si>
    <t>Nozzle Surround ABS Black Basic,Ext</t>
  </si>
  <si>
    <t>KR051516304</t>
  </si>
  <si>
    <t>Nozzle Surround,ABS Oasis,Basic,Ext</t>
  </si>
  <si>
    <t>KR051517404</t>
  </si>
  <si>
    <t>Tank Frame Black,Plus,Ext</t>
  </si>
  <si>
    <t>KR051517504</t>
  </si>
  <si>
    <t>Tank Frame Red,Plus,Ext</t>
  </si>
  <si>
    <t>KR051518704</t>
  </si>
  <si>
    <t>Front Panel Nozzle Black,Ext</t>
  </si>
  <si>
    <t>KR051518804</t>
  </si>
  <si>
    <t>Front Panel Nozzle Red Plus Ext.</t>
  </si>
  <si>
    <t>KR051518904</t>
  </si>
  <si>
    <t>Front Panel Nozzle Oasis Basic Ext.</t>
  </si>
  <si>
    <t>KR051519004</t>
  </si>
  <si>
    <t>Front Panel Nozzle Ghost Gray Ext.</t>
  </si>
  <si>
    <t>KR051519104</t>
  </si>
  <si>
    <t>Front Panel Nozzle Mallard Blue Ext.</t>
  </si>
  <si>
    <t>KR051520304</t>
  </si>
  <si>
    <t>Nozzle Surround Ghost Gray,Basic Ext.</t>
  </si>
  <si>
    <t>KR051520704</t>
  </si>
  <si>
    <t>Tank Frame Studio Gray,Plus,Ext</t>
  </si>
  <si>
    <t>KR051520804</t>
  </si>
  <si>
    <t>Tank Frame Evening Teal,Plus,Ext</t>
  </si>
  <si>
    <t>KR051521904</t>
  </si>
  <si>
    <t>Tank Frame Matte White,Plus,Ext</t>
  </si>
  <si>
    <t>KR051522504</t>
  </si>
  <si>
    <t>Front Panel Nozzle Dusty Rose External</t>
  </si>
  <si>
    <t>KR051524604</t>
  </si>
  <si>
    <t>Nozzle Surround MatteWhite,BasicExternal</t>
  </si>
  <si>
    <t>KR051527104</t>
  </si>
  <si>
    <t>LEVER SENSOR PROBE 1 BOILER SUS316 K750</t>
  </si>
  <si>
    <t>KR051527204</t>
  </si>
  <si>
    <t>LeverSensorProbe2BoilerSUS316 OD2.5 K750</t>
  </si>
  <si>
    <t>KR051527304</t>
  </si>
  <si>
    <t>Nozzle Surround Dusty Rose,BasicExternal</t>
  </si>
  <si>
    <t>KR051528104</t>
  </si>
  <si>
    <t>Front Panel Nozzle Smoke Green Ext.</t>
  </si>
  <si>
    <t>KR051529104</t>
  </si>
  <si>
    <t>Drip Tray Lid,Black,Basic,External</t>
  </si>
  <si>
    <t>KR051529204</t>
  </si>
  <si>
    <t>Drip Tray Lid Ghost Gray,Basic,External</t>
  </si>
  <si>
    <t>KR051529304</t>
  </si>
  <si>
    <t>Drip Tray Lid Dusty Rose,Basic,External</t>
  </si>
  <si>
    <t>KR051529504</t>
  </si>
  <si>
    <t>Front Panel Chill Green,External</t>
  </si>
  <si>
    <t>KR051530704</t>
  </si>
  <si>
    <t>Drip Tray Lid Smoke Green,Basic,Ext</t>
  </si>
  <si>
    <t>KR051531604</t>
  </si>
  <si>
    <t>Cold Water Tank Lid Ghost Gray,Basic,Ext</t>
  </si>
  <si>
    <t>KR051531704</t>
  </si>
  <si>
    <t>Cold Water Tank Lid Dusty Rose,Basic,Ext</t>
  </si>
  <si>
    <t>KR051532404</t>
  </si>
  <si>
    <t>Drip Tray Lid Matte White Basic Ext.</t>
  </si>
  <si>
    <t>KR051532504</t>
  </si>
  <si>
    <t>ColdWater Tank Lid MatteWhite Basic Ext.</t>
  </si>
  <si>
    <t>KR051533004</t>
  </si>
  <si>
    <t>Front Panel Ghost Gray Ext.</t>
  </si>
  <si>
    <t>KR051533104</t>
  </si>
  <si>
    <t>Front Panel Dusty Rose Ext.</t>
  </si>
  <si>
    <t>KR051533304</t>
  </si>
  <si>
    <t>Front Panel Red Plus Ext.</t>
  </si>
  <si>
    <t>KR051533404</t>
  </si>
  <si>
    <t>Front Panel Mallard Blue Ext.</t>
  </si>
  <si>
    <t>KR051533604</t>
  </si>
  <si>
    <t>Base Ghost Gray Basic Ext.</t>
  </si>
  <si>
    <t>KR051533704</t>
  </si>
  <si>
    <t>Base Dusty Rose Basic Ext.</t>
  </si>
  <si>
    <t>KR051533804</t>
  </si>
  <si>
    <t>Base Smoke Green Basic Ext.</t>
  </si>
  <si>
    <t>KR051533904</t>
  </si>
  <si>
    <t>Base Matte White Basic Ext.</t>
  </si>
  <si>
    <t>KR051805204</t>
  </si>
  <si>
    <t>Label Spare Part White Box</t>
  </si>
  <si>
    <t>KR052090404</t>
  </si>
  <si>
    <t>JUJO INK PAD-SSG</t>
  </si>
  <si>
    <t>KR052090504</t>
  </si>
  <si>
    <t>JUJO INK 100 SERIES SUPER GLOSS</t>
  </si>
  <si>
    <t>KR052090604</t>
  </si>
  <si>
    <t>JUJO THINNER VAC STANDARD DRYING</t>
  </si>
  <si>
    <t>KR052090704</t>
  </si>
  <si>
    <t>JUJO THINNER ES STANDARD DRYING</t>
  </si>
  <si>
    <t>KR061000204</t>
  </si>
  <si>
    <t>KINGFA GFABS-10 BLACK</t>
  </si>
  <si>
    <t>KR061000304</t>
  </si>
  <si>
    <t>CHIMEI ABS PA758R TRANSPARENT</t>
  </si>
  <si>
    <t>KR061000504</t>
  </si>
  <si>
    <t>Chimei ABS POLYLAC PA-777E UltraHighHeat</t>
  </si>
  <si>
    <t>KR061080104</t>
  </si>
  <si>
    <t>MB NHH K9AA5 BK ABS</t>
  </si>
  <si>
    <t>KR061503304</t>
  </si>
  <si>
    <t>GASKET MULTI NEEDLE ENTRANCE ELITE</t>
  </si>
  <si>
    <t>KR061503704</t>
  </si>
  <si>
    <t>FFC GROMMET ELITE</t>
  </si>
  <si>
    <t>KR061503804</t>
  </si>
  <si>
    <t>SEAL PM VENT K2.0</t>
  </si>
  <si>
    <t>KR061504104</t>
  </si>
  <si>
    <t>CWT PORT RECEIVER SEAL ELITE</t>
  </si>
  <si>
    <t>KR061504204</t>
  </si>
  <si>
    <t>SEAL CWT SILICONE RUBBER ELITE</t>
  </si>
  <si>
    <t>KR061504404</t>
  </si>
  <si>
    <t>VALVE STEM SEAL ELITE</t>
  </si>
  <si>
    <t>KR061504504</t>
  </si>
  <si>
    <t>PM DAMPER ELITE</t>
  </si>
  <si>
    <t>KR061504804</t>
  </si>
  <si>
    <t>AIR PUMP VIBRATION MOUNT ELITE</t>
  </si>
  <si>
    <t>KR061504904</t>
  </si>
  <si>
    <t>O RING NTC FTH ELITE</t>
  </si>
  <si>
    <t>KR061505004</t>
  </si>
  <si>
    <t>SAFETY VALVE SEAL ELITE</t>
  </si>
  <si>
    <t>KR061513904</t>
  </si>
  <si>
    <t>TUBING Ø8.0*IDØ4.0*170mm(L)</t>
  </si>
  <si>
    <t>KR061514304</t>
  </si>
  <si>
    <t>TUBING Ø8.0*IDØ4.0*80mm(L)</t>
  </si>
  <si>
    <t>KR061514904</t>
  </si>
  <si>
    <t>SPRING EXIT DETENT LEVER ELITE</t>
  </si>
  <si>
    <t>KR061515004</t>
  </si>
  <si>
    <t>SPRING EXIT PM TOP ELITE</t>
  </si>
  <si>
    <t>KR061515104</t>
  </si>
  <si>
    <t>SCREW SUS304 M3.5*20mm P/H BT-TYPE</t>
  </si>
  <si>
    <t>KR061515204</t>
  </si>
  <si>
    <t>AWT RECEIVER PLUNGER SPRING ELITE</t>
  </si>
  <si>
    <t>KR061515304</t>
  </si>
  <si>
    <t>CLIP NTC FTH ELITE</t>
  </si>
  <si>
    <t>KR061515404</t>
  </si>
  <si>
    <t>SAFETY VALVE SPRING OD5.0MM*WD0.4MM*20MM</t>
  </si>
  <si>
    <t>KR061515604</t>
  </si>
  <si>
    <t>SPRING CWT ELITE</t>
  </si>
  <si>
    <t>KR071080104</t>
  </si>
  <si>
    <t>MB NHH M16 PA66 BLACK</t>
  </si>
  <si>
    <t>KR071100104</t>
  </si>
  <si>
    <t>UI COVER ELITE</t>
  </si>
  <si>
    <t>KR071101004</t>
  </si>
  <si>
    <t>OLED BRACKET</t>
  </si>
  <si>
    <t>KR071101404</t>
  </si>
  <si>
    <t>CAP PUNCTURE PLATE</t>
  </si>
  <si>
    <t>KR071101604</t>
  </si>
  <si>
    <t>LINK HANDLE LEFT ELITE</t>
  </si>
  <si>
    <t>KR071101704</t>
  </si>
  <si>
    <t>LINK HANDLE RIGHT ELITE</t>
  </si>
  <si>
    <t>KR071101904</t>
  </si>
  <si>
    <t>DETENT LEVER</t>
  </si>
  <si>
    <t>KR071102004</t>
  </si>
  <si>
    <t>FUNNEL K CUP</t>
  </si>
  <si>
    <t>KR071102204</t>
  </si>
  <si>
    <t>PROGRAMING CABLE DOOR</t>
  </si>
  <si>
    <t>KR071102304</t>
  </si>
  <si>
    <t>CWT PORT RECEIVER</t>
  </si>
  <si>
    <t>KR071102404</t>
  </si>
  <si>
    <t>VALVE STEM</t>
  </si>
  <si>
    <t>KR071102504</t>
  </si>
  <si>
    <t>VALVE STEM COVER</t>
  </si>
  <si>
    <t>KR071102904</t>
  </si>
  <si>
    <t>LOWER FRAME</t>
  </si>
  <si>
    <t>KR071103004</t>
  </si>
  <si>
    <t>T CONNECTOR</t>
  </si>
  <si>
    <t>KR071103104</t>
  </si>
  <si>
    <t>CAP BYPASS RELIEF VALVE</t>
  </si>
  <si>
    <t>KR071103304</t>
  </si>
  <si>
    <t>SLEEVE TUBE</t>
  </si>
  <si>
    <t>KR071103604</t>
  </si>
  <si>
    <t>WATER FILTER COVER</t>
  </si>
  <si>
    <t>KR071104204</t>
  </si>
  <si>
    <t>WATER FILTER ADAPTOR</t>
  </si>
  <si>
    <t>KR071104304</t>
  </si>
  <si>
    <t>PLUNGER CWT</t>
  </si>
  <si>
    <t>KR071104904</t>
  </si>
  <si>
    <t>BASE PUNCTURE PLATE</t>
  </si>
  <si>
    <t>KR071105004</t>
  </si>
  <si>
    <t>HOLDER K CUP</t>
  </si>
  <si>
    <t>KR071105104</t>
  </si>
  <si>
    <t>MESH FRAME</t>
  </si>
  <si>
    <t>KR071105204</t>
  </si>
  <si>
    <t>WATER LEVEL COVER</t>
  </si>
  <si>
    <t>KR071105504</t>
  </si>
  <si>
    <t>HANDLE BEARING</t>
  </si>
  <si>
    <t>KR071201104</t>
  </si>
  <si>
    <t>UI COVER PAD PRINTING ELITE</t>
  </si>
  <si>
    <t>KR071400204</t>
  </si>
  <si>
    <t>KEUR BRWR KSPRP METAL COSTCO UNKT V2</t>
  </si>
  <si>
    <t>KR071400404</t>
  </si>
  <si>
    <t>GRID ELITE COFFEE MACHINE CANADA</t>
  </si>
  <si>
    <t>KR071400504</t>
  </si>
  <si>
    <t>KEUR BRWR KSPRP METAL V2</t>
  </si>
  <si>
    <t>KR071400604</t>
  </si>
  <si>
    <t>GRID ELITE COFFEE MACHINE CANADA COSTCO</t>
  </si>
  <si>
    <t>KR071500104</t>
  </si>
  <si>
    <t>BASE ELITE EXT.</t>
  </si>
  <si>
    <t>KR071500204</t>
  </si>
  <si>
    <t>CWT PORT RECEIVER COVER EXT,</t>
  </si>
  <si>
    <t>KR071500304</t>
  </si>
  <si>
    <t>WATER LEVEL BODY EXT.</t>
  </si>
  <si>
    <t>KR071500504</t>
  </si>
  <si>
    <t>BUTTON FRAME ELITE SP EXT.</t>
  </si>
  <si>
    <t>KR071500604</t>
  </si>
  <si>
    <t>OVER ICE BUTTON SP EXT.</t>
  </si>
  <si>
    <t>KR071500704</t>
  </si>
  <si>
    <t>6OZ BUTTON ELITE SP EXT.</t>
  </si>
  <si>
    <t>KR071500804</t>
  </si>
  <si>
    <t>10OZ BUTTON ELITE SP EXT.</t>
  </si>
  <si>
    <t>KR071500904</t>
  </si>
  <si>
    <t>EXTRA HOT BUTTON ELITE SP EXT.</t>
  </si>
  <si>
    <t>KR071501004</t>
  </si>
  <si>
    <t>STRONG BUTTON ELITE SP EXT.</t>
  </si>
  <si>
    <t>KR071501104</t>
  </si>
  <si>
    <t>FAVORITY SELECTION BUTTON SP EXT.</t>
  </si>
  <si>
    <t>KR071501204</t>
  </si>
  <si>
    <t>BREW BUTTON ELITE SP EXT.</t>
  </si>
  <si>
    <t>KR071501304</t>
  </si>
  <si>
    <t>BREW BUTTON DECORATION SP EXT.</t>
  </si>
  <si>
    <t>KR071502004</t>
  </si>
  <si>
    <t>CWT BASE ELITE EXT.</t>
  </si>
  <si>
    <t>KR071502504</t>
  </si>
  <si>
    <t>DRIP TRAY TOUCH POINT SP EXT.</t>
  </si>
  <si>
    <t>KR071503004</t>
  </si>
  <si>
    <t>DRY BOX LOWER EXT.</t>
  </si>
  <si>
    <t>KR071503104</t>
  </si>
  <si>
    <t>TOP COVER INNER,Ext</t>
  </si>
  <si>
    <t>KR071503304</t>
  </si>
  <si>
    <t>PM FRAME EXT.</t>
  </si>
  <si>
    <t>KR071503404</t>
  </si>
  <si>
    <t>PUSH PLATE EXT.</t>
  </si>
  <si>
    <t>KR071503704</t>
  </si>
  <si>
    <t>PUNCTURE BUCKET EXT.</t>
  </si>
  <si>
    <t>KR071503904</t>
  </si>
  <si>
    <t>T CONNECTOR EXT.</t>
  </si>
  <si>
    <t>KR071504004</t>
  </si>
  <si>
    <t>SAFETY VALVE HOUSING EXT.</t>
  </si>
  <si>
    <t>KR071504104</t>
  </si>
  <si>
    <t>BACK PANEL ELITE EXT.</t>
  </si>
  <si>
    <t>KR071504204</t>
  </si>
  <si>
    <t>WATER FILTER COVER EXT.</t>
  </si>
  <si>
    <t>KR071504304</t>
  </si>
  <si>
    <t>FRONT PANEL ELITE EXT.</t>
  </si>
  <si>
    <t>KR071504504</t>
  </si>
  <si>
    <t>TOP COVER ELITE EXT.</t>
  </si>
  <si>
    <t>KR071504604</t>
  </si>
  <si>
    <t>CWT COVER ELITE EXT.</t>
  </si>
  <si>
    <t>KR071504704</t>
  </si>
  <si>
    <t>OBLONG FILTER HANDLE EXT.</t>
  </si>
  <si>
    <t>KR071504804</t>
  </si>
  <si>
    <t>OBLONG FILTER HOLDER EXT.</t>
  </si>
  <si>
    <t>KR071504904</t>
  </si>
  <si>
    <t>DRIP TRAY BODY ELITE EXT.</t>
  </si>
  <si>
    <t>KR071505004</t>
  </si>
  <si>
    <t>DRIP TRAY CAP ELITE EXT.</t>
  </si>
  <si>
    <t>KR071505404</t>
  </si>
  <si>
    <t>DRIP TRAY BODY WRAP ELITE</t>
  </si>
  <si>
    <t>KR071505504</t>
  </si>
  <si>
    <t>FTH HOLDER EXT.</t>
  </si>
  <si>
    <t>KR071505604</t>
  </si>
  <si>
    <t>PM TOP DRY BOX SEAL ELITE</t>
  </si>
  <si>
    <t>KR071505704</t>
  </si>
  <si>
    <t>CHECK VALVE PM OV15</t>
  </si>
  <si>
    <t>KR071505804</t>
  </si>
  <si>
    <t>SHAFT PUSH PLATE ELITE</t>
  </si>
  <si>
    <t>KR071505904</t>
  </si>
  <si>
    <t>SHAFT PRIMARY PIVOT ELITE</t>
  </si>
  <si>
    <t>KR071506004</t>
  </si>
  <si>
    <t>SHAFT PM TOP ELITE</t>
  </si>
  <si>
    <t>KR071506104</t>
  </si>
  <si>
    <t>BASE ELITE METAL WRAP</t>
  </si>
  <si>
    <t>KR071506204</t>
  </si>
  <si>
    <t>STRAINER MESH ELITE</t>
  </si>
  <si>
    <t>KR071506604</t>
  </si>
  <si>
    <t>NTC OUTLET</t>
  </si>
  <si>
    <t>KR071506704</t>
  </si>
  <si>
    <t>NTC INLET</t>
  </si>
  <si>
    <t>KR071506804</t>
  </si>
  <si>
    <t>WATER LEVEL PROBE ELITE</t>
  </si>
  <si>
    <t>KR071506904</t>
  </si>
  <si>
    <t>MAIN HOUSING WRAP FRONT</t>
  </si>
  <si>
    <t>KR071507004</t>
  </si>
  <si>
    <t>MAIN HOUSING WRAP LEFT</t>
  </si>
  <si>
    <t>KR071507104</t>
  </si>
  <si>
    <t>MAIN HOUSING WRAP RIGHT</t>
  </si>
  <si>
    <t>KR071507204</t>
  </si>
  <si>
    <t>DRIP TRAY RING ELITE</t>
  </si>
  <si>
    <t>KR071507304</t>
  </si>
  <si>
    <t>TUBING Ø8.0*IDØ4.0*240mm(L)</t>
  </si>
  <si>
    <t>KR071507404</t>
  </si>
  <si>
    <t>TUBING Ø8.0*IDØ4.0*190mm(L)</t>
  </si>
  <si>
    <t>KR071507504</t>
  </si>
  <si>
    <t>TUBING Ø8.0*IDØ4.0*90mm(L)</t>
  </si>
  <si>
    <t>KR071507604</t>
  </si>
  <si>
    <t>TUBING Ø8.0*IDØ4.0*155mm(L)</t>
  </si>
  <si>
    <t>KR071507704</t>
  </si>
  <si>
    <t>TUBING Ø8.0*IDØ4.0*135mm(L)</t>
  </si>
  <si>
    <t>KR071507804</t>
  </si>
  <si>
    <t>TUBING Ø4.6*IDØ2.4*250MM(L)</t>
  </si>
  <si>
    <t>KR071507904</t>
  </si>
  <si>
    <t>TUBING Ø4.6*IDØ2.4*85mm(L)</t>
  </si>
  <si>
    <t>KR071508004</t>
  </si>
  <si>
    <t>AIR PUMP HARNESS ELITE</t>
  </si>
  <si>
    <t>KR071508104</t>
  </si>
  <si>
    <t>HAMESS DOOR SWITCH ELITE</t>
  </si>
  <si>
    <t>KR071508204</t>
  </si>
  <si>
    <t>Harness Water Pump Home Sensor Wiring</t>
  </si>
  <si>
    <t>KR071508304</t>
  </si>
  <si>
    <t>AWT LEVEL ELITE</t>
  </si>
  <si>
    <t>KR071508404</t>
  </si>
  <si>
    <t>FTH LEVEL SIGNAL RETURN ELITE</t>
  </si>
  <si>
    <t>KR071508504</t>
  </si>
  <si>
    <t>POWER CORD 1000mm+130mm ELITE</t>
  </si>
  <si>
    <t>KR071508604</t>
  </si>
  <si>
    <t>FUSED LINE ELITE</t>
  </si>
  <si>
    <t>KR071508804</t>
  </si>
  <si>
    <t>FTH LINE SWITCHED ELITE</t>
  </si>
  <si>
    <t>KR071508904</t>
  </si>
  <si>
    <t>FTH NEUTRAL ELITE</t>
  </si>
  <si>
    <t>KR071509404</t>
  </si>
  <si>
    <t>SECONDARY NEEDLE MULTI</t>
  </si>
  <si>
    <t>KR071509804</t>
  </si>
  <si>
    <t>FLAT CABLE 24PINS P0.5MM*410mm</t>
  </si>
  <si>
    <t>KR071510004</t>
  </si>
  <si>
    <t>SCREW SUS304 M3*14 P/H BT-TYPE</t>
  </si>
  <si>
    <t>KR071510104</t>
  </si>
  <si>
    <t>PANHEAD MACHINE SCREW SUS304 M3*10 P0.5</t>
  </si>
  <si>
    <t>KR071510204</t>
  </si>
  <si>
    <t>CHARCOAL FILTER 55MM*30MM*34MM+/-1MM</t>
  </si>
  <si>
    <t>KR071510404</t>
  </si>
  <si>
    <t>BI METAL FUSE ELITE</t>
  </si>
  <si>
    <t>KR071510504</t>
  </si>
  <si>
    <t>ESD CABLE</t>
  </si>
  <si>
    <t>KR071510604</t>
  </si>
  <si>
    <t>HARNESS WATER PUMP</t>
  </si>
  <si>
    <t>KR071510804</t>
  </si>
  <si>
    <t>BI-METAL FUSE CLIP ELITE</t>
  </si>
  <si>
    <t>KR071511004</t>
  </si>
  <si>
    <t>WARNING LABEL ELITE</t>
  </si>
  <si>
    <t>KR071511104</t>
  </si>
  <si>
    <t>FIREPROOF BOX COVER EXT.</t>
  </si>
  <si>
    <t>KR071511204</t>
  </si>
  <si>
    <t>FIREPROOF BOX BODY EXT.</t>
  </si>
  <si>
    <t>KR071800204</t>
  </si>
  <si>
    <t>MASTER CARTON ELITE USA</t>
  </si>
  <si>
    <t>KR071800304</t>
  </si>
  <si>
    <t>TOP PULP TRAY ELITE</t>
  </si>
  <si>
    <t>KR071800404</t>
  </si>
  <si>
    <t>BOTTOM PULP TRAY ELITE</t>
  </si>
  <si>
    <t>KR071800504</t>
  </si>
  <si>
    <t>BREWER EPE BAG ELITE</t>
  </si>
  <si>
    <t>KR071800604</t>
  </si>
  <si>
    <t>WELCOME KIT ELITE COSTCO</t>
  </si>
  <si>
    <t>KR071800904</t>
  </si>
  <si>
    <t>GIFT BOX WHITE ELITE</t>
  </si>
  <si>
    <t>KR071801304</t>
  </si>
  <si>
    <t>MASTER CARTON ELITE CAN</t>
  </si>
  <si>
    <t>KR071801404</t>
  </si>
  <si>
    <t>WELCOME KIT ELITE USA</t>
  </si>
  <si>
    <t>KR071801504</t>
  </si>
  <si>
    <t>WELCOME KIT ELITE CAN</t>
  </si>
  <si>
    <t>KR071801604</t>
  </si>
  <si>
    <t>ACCY BOX 210*106*202</t>
  </si>
  <si>
    <t>KR071801804</t>
  </si>
  <si>
    <t>MASTER CARTON ELITE CANADA COSTCO</t>
  </si>
  <si>
    <t>KR071802004</t>
  </si>
  <si>
    <t>WHITE BOX K-SUPREME PLUS CWT</t>
  </si>
  <si>
    <t>KR071802304</t>
  </si>
  <si>
    <t>BOX K-SUPREME PLUS DRIP TRAY</t>
  </si>
  <si>
    <t>KR071802504</t>
  </si>
  <si>
    <t>DRIP TRAY OVP PAD K-SUPREME PLUS</t>
  </si>
  <si>
    <t>KR071802604</t>
  </si>
  <si>
    <t>DRIP TRAY OVP K-SUPREME PLUS</t>
  </si>
  <si>
    <t>LD200011803</t>
  </si>
  <si>
    <t>LED,DD,TopFire,632nm,2PIN,BRILIANT RED</t>
  </si>
  <si>
    <t>MC031100103</t>
  </si>
  <si>
    <t>CHARGE CONTACT BLOCK VANUATU</t>
  </si>
  <si>
    <t>MC031100203</t>
  </si>
  <si>
    <t>FRONT HOUSING MD VANUATU</t>
  </si>
  <si>
    <t>MC031100303</t>
  </si>
  <si>
    <t>REAR HOUSING VANUATU</t>
  </si>
  <si>
    <t>MC031100403</t>
  </si>
  <si>
    <t>BATTERY DOOR LATCH VANUATU</t>
  </si>
  <si>
    <t>MC031100503</t>
  </si>
  <si>
    <t>ANTENNA VANUATU</t>
  </si>
  <si>
    <t>MC031100603</t>
  </si>
  <si>
    <t>BATTERY LATCH COVER VANUATU</t>
  </si>
  <si>
    <t>MC031100703</t>
  </si>
  <si>
    <t>SEAL,SEAL, AUDIO</t>
  </si>
  <si>
    <t>MC031100803</t>
  </si>
  <si>
    <t>CAP SCREW MD VANUATU</t>
  </si>
  <si>
    <t>MC031101003</t>
  </si>
  <si>
    <t>BATTERY DOOR VANUATU</t>
  </si>
  <si>
    <t>MC031200103</t>
  </si>
  <si>
    <t>ASSEMBLY, HOUSING,ASSEMBLY, FRONT HOUSIN</t>
  </si>
  <si>
    <t>MC031200403</t>
  </si>
  <si>
    <t>CAP, SCREW PP(DLR 1060)</t>
  </si>
  <si>
    <t>MC031200503</t>
  </si>
  <si>
    <t>Cap,Screw PP(DLR 1020)</t>
  </si>
  <si>
    <t>MC0314F6303</t>
  </si>
  <si>
    <t>TANAPA DLR1060 1W900MHZ6CH COS,BRUS/BRCA</t>
  </si>
  <si>
    <t>MC0314F6403</t>
  </si>
  <si>
    <t>TANAPA DLR1020 1W900MHZ2CH COS,BRUS/BRCA</t>
  </si>
  <si>
    <t>MC031801403</t>
  </si>
  <si>
    <t>WARRANTY CARD</t>
  </si>
  <si>
    <t>MC031801503</t>
  </si>
  <si>
    <t>DLR SERIES QUICK REFERENCE GUIDE ANZ,ENG</t>
  </si>
  <si>
    <t>MC031801703</t>
  </si>
  <si>
    <t>SAFETY LEAFLET-PORT. 2-WAY RADIOS</t>
  </si>
  <si>
    <t>MC031801803</t>
  </si>
  <si>
    <t>COLOR BOX DLR1060 (ANZ)</t>
  </si>
  <si>
    <t>MC031J01503</t>
  </si>
  <si>
    <t>PCBA Subassembly (Channel6),COS Vanuatu</t>
  </si>
  <si>
    <t>MC031J01603</t>
  </si>
  <si>
    <t>PCBA Subassembly (Channel2),COS Vanuatu</t>
  </si>
  <si>
    <t>MC031J01803</t>
  </si>
  <si>
    <t>PCBA,DLR1060,6CH(LACR),Vanuatu COS</t>
  </si>
  <si>
    <t>MC031J02303</t>
  </si>
  <si>
    <t>PCBA DLR1060 1W 900MHZ 6CH (ANZ)Vanuatu</t>
  </si>
  <si>
    <t>MC032090403</t>
  </si>
  <si>
    <t>JUJO INK PAD SAP PANTONE COOL GRAY 2C</t>
  </si>
  <si>
    <t>MC032090503</t>
  </si>
  <si>
    <t>JUJO INK PAD SAP PANTONE COOL GRAY 6C</t>
  </si>
  <si>
    <t>MC032090603</t>
  </si>
  <si>
    <t>JUJO INK THINNER ES STANDARD DRYING</t>
  </si>
  <si>
    <t>MC032500103</t>
  </si>
  <si>
    <t>BRONZE CONTACT METAL SHEET VANUATU</t>
  </si>
  <si>
    <t>MC032500203</t>
  </si>
  <si>
    <t>REAR HOUSING METAL SHEET VANUATU</t>
  </si>
  <si>
    <t>MC032500303</t>
  </si>
  <si>
    <t>BATTERY LI-ION 3.7V 1800MAH BT90</t>
  </si>
  <si>
    <t>MC032500503</t>
  </si>
  <si>
    <t>CG,3W,L6,100-240VAC,PS000228A01,US,SW</t>
  </si>
  <si>
    <t>MC032500603</t>
  </si>
  <si>
    <t>SPEAKER WALL SHIELD ADHESIVE</t>
  </si>
  <si>
    <t>MC032500703</t>
  </si>
  <si>
    <t>PAD BATTERY BUMPER</t>
  </si>
  <si>
    <t>MC032500803</t>
  </si>
  <si>
    <t>COVER CAP SCREW ADHESIVE</t>
  </si>
  <si>
    <t>MC032500903</t>
  </si>
  <si>
    <t>Label,28*20*T0.1mm,Polyester,White</t>
  </si>
  <si>
    <t>MC032501003</t>
  </si>
  <si>
    <t>Label,3Inch*5Inch,PET,For Carton,VANUATU</t>
  </si>
  <si>
    <t>MC032501103</t>
  </si>
  <si>
    <t>Label,1Inch*3Inch,PET,ForGiftBox,VANUATU</t>
  </si>
  <si>
    <t>MC032501203</t>
  </si>
  <si>
    <t>Gasket conduct adhesive,L5mm*W5mm*T1mm</t>
  </si>
  <si>
    <t>MC032501303</t>
  </si>
  <si>
    <t>Gasket conduct adhesive,3mm*5mm*1mm</t>
  </si>
  <si>
    <t>MC032501403</t>
  </si>
  <si>
    <t>SPEAKER SCREEN, VANUATU</t>
  </si>
  <si>
    <t>MC032501503</t>
  </si>
  <si>
    <t>BATTERY POCKET MYLAR, VANUATU</t>
  </si>
  <si>
    <t>MC032501603</t>
  </si>
  <si>
    <t>REAR HOUSING INSULATOR, VANUATU</t>
  </si>
  <si>
    <t>MC032501703</t>
  </si>
  <si>
    <t>PTT RETAINER, VANUATU</t>
  </si>
  <si>
    <t>MC032501803</t>
  </si>
  <si>
    <t>SIDE BUTTON BACKER, VANUATU</t>
  </si>
  <si>
    <t>MC032501903</t>
  </si>
  <si>
    <t>ANTENNA ,SINGLE DIPOLE 900MHZ, VANUATU</t>
  </si>
  <si>
    <t>MC032502003</t>
  </si>
  <si>
    <t>SCREW,DELTA PT 1.8MM L=5.0</t>
  </si>
  <si>
    <t>MC032502103</t>
  </si>
  <si>
    <t>SCREW,DELTA PT 1.8MM L=8.0</t>
  </si>
  <si>
    <t>MC032502303</t>
  </si>
  <si>
    <t>CHARGER CHASSIS,PLASTIC,DLR, PMLN7139A</t>
  </si>
  <si>
    <t>MC032502403</t>
  </si>
  <si>
    <t>PLASTIC SERIES BELT CLIP HOLSTER FOR COS</t>
  </si>
  <si>
    <t>MC032502503</t>
  </si>
  <si>
    <t>GLUE LOCTITE 454</t>
  </si>
  <si>
    <t>MC032502603</t>
  </si>
  <si>
    <t>Glue,LOCTITE 7109</t>
  </si>
  <si>
    <t>MC032502703</t>
  </si>
  <si>
    <t>Silicone Glue,Super-X 8008,White</t>
  </si>
  <si>
    <t>MC032502803</t>
  </si>
  <si>
    <t>PTT BUTTON, VANUATU</t>
  </si>
  <si>
    <t>MC032502903</t>
  </si>
  <si>
    <t>SIDE BUTTON ARRAY, VANUATU</t>
  </si>
  <si>
    <t>MC032503003</t>
  </si>
  <si>
    <t>MIC BOOT, VANUATU</t>
  </si>
  <si>
    <t>MC032503103</t>
  </si>
  <si>
    <t>ACC COVER, VANUATU</t>
  </si>
  <si>
    <t>MC032503203</t>
  </si>
  <si>
    <t>BATTERY BUMPER, VANUATU</t>
  </si>
  <si>
    <t>MC032503303</t>
  </si>
  <si>
    <t>LOUDSPEAKER, 36MM,4OHM,1W</t>
  </si>
  <si>
    <t>MC032520603</t>
  </si>
  <si>
    <t>LABEL 102*76mm, Carton UCC/Certificate</t>
  </si>
  <si>
    <t>MC032800103</t>
  </si>
  <si>
    <t>PE BAG WITH RECYLE LOGO 200*90MM</t>
  </si>
  <si>
    <t>MC032800203</t>
  </si>
  <si>
    <t>PrintingPaper,SAFE&amp;EFFICIENT OPofMOT</t>
  </si>
  <si>
    <t>MC032800303</t>
  </si>
  <si>
    <t>REFERENCE GUIDE,DLR Ser. QUICK,ENG/FREN</t>
  </si>
  <si>
    <t>MC032800603</t>
  </si>
  <si>
    <t>Partition,Paper,Long652*155,Short352*155</t>
  </si>
  <si>
    <t>MC032800703</t>
  </si>
  <si>
    <t>Paper Board,660*360mm,Vanuatu</t>
  </si>
  <si>
    <t>MC032800803</t>
  </si>
  <si>
    <t>COLOR BOX ,DLR1020, ARTWORK (ENG/FREN)</t>
  </si>
  <si>
    <t>MC032800903</t>
  </si>
  <si>
    <t>COLOR BOX, DLR1060, ARTWORK (ENG/FREN)</t>
  </si>
  <si>
    <t>MC032801003</t>
  </si>
  <si>
    <t>MANUAL,PRINT,DLR SERIES QSG (LACR)</t>
  </si>
  <si>
    <t>ME200033103</t>
  </si>
  <si>
    <t>SHIELD, CIRCUIT 2,MC03</t>
  </si>
  <si>
    <t>ME200033203</t>
  </si>
  <si>
    <t>SHIELD, PA,MC03</t>
  </si>
  <si>
    <t>ME200033303</t>
  </si>
  <si>
    <t>SHIELD, CONTROL,MC03</t>
  </si>
  <si>
    <t>ME200033403</t>
  </si>
  <si>
    <t>SHIELD, CIRCUIT 1,MC03</t>
  </si>
  <si>
    <t>ME200033503</t>
  </si>
  <si>
    <t>SHIELD, DSP,MC03</t>
  </si>
  <si>
    <t>ME200033603</t>
  </si>
  <si>
    <t>SHIELD, VCO,MC03</t>
  </si>
  <si>
    <t>ME200033703</t>
  </si>
  <si>
    <t>SHIELD, MIC,MC03</t>
  </si>
  <si>
    <t>MP200001803</t>
  </si>
  <si>
    <t>MIC,OMDIR,3.76X2.95X1.10,ULTRA MINI, MAX</t>
  </si>
  <si>
    <t>MT192000103</t>
  </si>
  <si>
    <t>SABIC Lexan EXL1414-BK1A068</t>
  </si>
  <si>
    <t>MTB32000203</t>
  </si>
  <si>
    <t>Bayer TPU Texin 285 black 901510</t>
  </si>
  <si>
    <t>MTF52504203</t>
  </si>
  <si>
    <t>Solder wire 0.5m, Alpha(SAC305),ROHS</t>
  </si>
  <si>
    <t>OM012000202</t>
  </si>
  <si>
    <t>Mitsubishi Acrypet PMMA VH001Clear RoHS</t>
  </si>
  <si>
    <t>OM012500100</t>
  </si>
  <si>
    <t>Glue Loctite AA349</t>
  </si>
  <si>
    <t>ON021000304</t>
  </si>
  <si>
    <t>KINGFA ABS GFABS-R10 BLACK</t>
  </si>
  <si>
    <t>PC200092703</t>
  </si>
  <si>
    <t>PCB,Main Board,Vanuatu,PC001156A02</t>
  </si>
  <si>
    <t>RS200047703</t>
  </si>
  <si>
    <t>RES,CHIP,2.00K,1/16W,1%,SMD,0402,ROHS</t>
  </si>
  <si>
    <t>RS200071003</t>
  </si>
  <si>
    <t>RES,10KOHM,5%,100PPM,.063W,0402</t>
  </si>
  <si>
    <t>RS200071203</t>
  </si>
  <si>
    <t>RES,MF,100KOHM,5%,.0625W,SM,0402,200PPM</t>
  </si>
  <si>
    <t>RS200071303</t>
  </si>
  <si>
    <t>RES,MF,0OHM,5%,0.0625W,GW,SM,0402</t>
  </si>
  <si>
    <t>RS200073503</t>
  </si>
  <si>
    <t>RESISTOR,METAL FILM,0OHM,5%,GW,SM,0201,P</t>
  </si>
  <si>
    <t>RS200075903</t>
  </si>
  <si>
    <t>Resistor 100 Ohm 0402 5% 1/16W</t>
  </si>
  <si>
    <t>RS200076103</t>
  </si>
  <si>
    <t>Res 1.0 MOhm 5% 1/16W 0402</t>
  </si>
  <si>
    <t>RS200076303</t>
  </si>
  <si>
    <t>Res 1.5 kOhm 5% 1/16W 0402</t>
  </si>
  <si>
    <t>RS200076603</t>
  </si>
  <si>
    <t>Res Thick Film 220 Ohm 5% 0.063W 0402</t>
  </si>
  <si>
    <t>RS200076703</t>
  </si>
  <si>
    <t>Res Thick Film 2.2K Ohm 5% 0.063W 0402</t>
  </si>
  <si>
    <t>RS200076803</t>
  </si>
  <si>
    <t>Res Thick Film 22K Ohm 5% 0.063W 0402</t>
  </si>
  <si>
    <t>RS200076903</t>
  </si>
  <si>
    <t>Res Thick Film 220K Ohm 5% 0.063W 0402</t>
  </si>
  <si>
    <t>RS200077303</t>
  </si>
  <si>
    <t>Res 4.7 kOhm 5% 1/16W 0402</t>
  </si>
  <si>
    <t>RS200080503</t>
  </si>
  <si>
    <t>RES,MF,20K OHM,1%,.0625W,SM,0402</t>
  </si>
  <si>
    <t>RS200080803</t>
  </si>
  <si>
    <t>RES,MF,120 Ohm,5%,.0625W,SM,0402</t>
  </si>
  <si>
    <t>RS200080903</t>
  </si>
  <si>
    <t>RES,MF,470 OHM,5%,.0625W,SM,0402</t>
  </si>
  <si>
    <t>RS200081003</t>
  </si>
  <si>
    <t>RES,MF,8.2K OHM,5%,.0625W,SM,0402</t>
  </si>
  <si>
    <t>RS200081103</t>
  </si>
  <si>
    <t>RES,MF,180 OHM,5%,.0625W,SM,0402</t>
  </si>
  <si>
    <t>RS200081203</t>
  </si>
  <si>
    <t>RES,MF,0 Ohm,1%,.1W,SM,0603</t>
  </si>
  <si>
    <t>RS200081403</t>
  </si>
  <si>
    <t>RES,MF,82K OHM,5%,.0625W,SM,0402</t>
  </si>
  <si>
    <t>RS200081603</t>
  </si>
  <si>
    <t>RES,0.47 OHM,1%,SM,1/8W,0402</t>
  </si>
  <si>
    <t>RS200081803</t>
  </si>
  <si>
    <t>RES,MF,27K OHM,1%,0.0625W,SM,0402</t>
  </si>
  <si>
    <t>RS200081903</t>
  </si>
  <si>
    <t>RES,MF,30KOHM,5%,0.0625W,SM,0402</t>
  </si>
  <si>
    <t>RS200082003</t>
  </si>
  <si>
    <t>RES,MF,120KOHM,5%,0.0625W,SM,0402</t>
  </si>
  <si>
    <t>RS200082103</t>
  </si>
  <si>
    <t>RES,MF,12KOhm,5%,0.0625W,SM,0402</t>
  </si>
  <si>
    <t>RS200082203</t>
  </si>
  <si>
    <t>RES,MF,300 OHM,5%,.0625W,SM,0402</t>
  </si>
  <si>
    <t>RS200082603</t>
  </si>
  <si>
    <t>RES,MF,620 OHM,5%,0.0625W,SM,0402</t>
  </si>
  <si>
    <t>RS200082903</t>
  </si>
  <si>
    <t>RES,MF,270 OHM,5%,0.0625W,SM,0402</t>
  </si>
  <si>
    <t>RS200083003</t>
  </si>
  <si>
    <t>RES,MF,11K OHM,5%,0.0625W,SM,0402</t>
  </si>
  <si>
    <t>RS200083103</t>
  </si>
  <si>
    <t>RES,MF,27 OHM,5%,0.0625W,SM,0402</t>
  </si>
  <si>
    <t>RS200083203</t>
  </si>
  <si>
    <t>RES,MF,100K OHM,1%,0.0625W,SM,0402</t>
  </si>
  <si>
    <t>RS200083303</t>
  </si>
  <si>
    <t>RES,MF,1.2K OHM,5%,0.0625W,SM,0402</t>
  </si>
  <si>
    <t>RS200083403</t>
  </si>
  <si>
    <t>RES,MF,36K OHM,5%,0.0625W,SM,0402</t>
  </si>
  <si>
    <t>RS200083503</t>
  </si>
  <si>
    <t>RES,MF,150 OHM,1%,0.0625W,SM,0402</t>
  </si>
  <si>
    <t>RS200083703</t>
  </si>
  <si>
    <t>RES,MF,1.8K Ohm,5%,0.0625,SM,0402</t>
  </si>
  <si>
    <t>RS200083903</t>
  </si>
  <si>
    <t>RES,MF,10K OHM,1%,0.0625W,SM,0402</t>
  </si>
  <si>
    <t>RS200084003</t>
  </si>
  <si>
    <t>RES,MF,51K OHM,5%,0.0625W,SM,0402</t>
  </si>
  <si>
    <t>RS200087303</t>
  </si>
  <si>
    <t>RES,CHIP,11 OHM,1%,0.063W,100PPM,0402</t>
  </si>
  <si>
    <t>RS200087403</t>
  </si>
  <si>
    <t>RES,CHIP,30 OHM,5%,0.063W,200PPM,0402</t>
  </si>
  <si>
    <t>RS200087503</t>
  </si>
  <si>
    <t>RES,CHIP,47 OHM,5%,0.063W,200PPM,0402</t>
  </si>
  <si>
    <t>RS200087603</t>
  </si>
  <si>
    <t>RES,CHIP,75 OHM,5%,0.063W,200PPM,0402</t>
  </si>
  <si>
    <t>RS200087803</t>
  </si>
  <si>
    <t>Res,ThickFilm,91 OHM, ±5%,1/16W,0402,SMD</t>
  </si>
  <si>
    <t>RS200087903</t>
  </si>
  <si>
    <t>RES,CHIP,68K OHM,5%,0.063W,200PPM,0402</t>
  </si>
  <si>
    <t>RS200107903</t>
  </si>
  <si>
    <t>RES,470K OHM,5%,0.063W,0402</t>
  </si>
  <si>
    <t>RS200124103</t>
  </si>
  <si>
    <t>RES 39K OHM 5% 0.1W 0402</t>
  </si>
  <si>
    <t>RS200126303</t>
  </si>
  <si>
    <t>RES,.47OHM,1%,300PPM,1/6W,0402</t>
  </si>
  <si>
    <t>RS200143303</t>
  </si>
  <si>
    <t>RES,CER CHIP,TF,560OHM,5%,.063W,SMD,0402</t>
  </si>
  <si>
    <t>RS200144203</t>
  </si>
  <si>
    <t>RES,TF,62OHM,5%,0.1W,±200ppm/°C,0402,SMD</t>
  </si>
  <si>
    <t>RS200144303</t>
  </si>
  <si>
    <t>RES,TF,3.9KOHM,5%,0.1W,±200ppm,0402,SMD</t>
  </si>
  <si>
    <t>SG011000301</t>
  </si>
  <si>
    <t>RTP 399 x 82852A RoHS</t>
  </si>
  <si>
    <t>SG011060301</t>
  </si>
  <si>
    <t>RTP 399 x 82852A</t>
  </si>
  <si>
    <t>SG012000302</t>
  </si>
  <si>
    <t>RTP 399 x 82852A, Black</t>
  </si>
  <si>
    <t>SG171100301</t>
  </si>
  <si>
    <t>Comb Plastic,Shiping,Pharaoh Oasis 1D</t>
  </si>
  <si>
    <t>SG172R00100</t>
  </si>
  <si>
    <t>PE Tray 42 Cavity</t>
  </si>
  <si>
    <t>SG172R00101</t>
  </si>
  <si>
    <t>PE Tray 42 Cavity RoHS</t>
  </si>
  <si>
    <t>SG172R00201</t>
  </si>
  <si>
    <t>Tray cover CL-01 RoHS</t>
  </si>
  <si>
    <t>SG251800102</t>
  </si>
  <si>
    <t>CARTON  260*336*245MM</t>
  </si>
  <si>
    <t>SG252800100</t>
  </si>
  <si>
    <t>SG252800101</t>
  </si>
  <si>
    <t>Box : (MM) TH13" x 10" x 9" (26X33X23.5)</t>
  </si>
  <si>
    <t>SG272800102</t>
  </si>
  <si>
    <t>Carton (XL) 360 x 360 x 390 mm</t>
  </si>
  <si>
    <t>SG582000202</t>
  </si>
  <si>
    <t>RTP 399 x 124284C, Black</t>
  </si>
  <si>
    <t>SG582060202</t>
  </si>
  <si>
    <t>RTP 399 x 124284C Regrind</t>
  </si>
  <si>
    <t>SG692500102</t>
  </si>
  <si>
    <t>CPN1096,0.8MMCITRIC PASSIVATIONBALL RoHS</t>
  </si>
  <si>
    <t>SG811800100</t>
  </si>
  <si>
    <t>ROSEWOOD7 SM TRAY 306*240*9 T1051M2 RoHS</t>
  </si>
  <si>
    <t>SG812102302</t>
  </si>
  <si>
    <t>Latch, Inertial, Rosewood 7</t>
  </si>
  <si>
    <t>SG972100102</t>
  </si>
  <si>
    <t>COMB, PLSTC, SKYLIGHT, 2D</t>
  </si>
  <si>
    <t>SW200007403</t>
  </si>
  <si>
    <t>SW,MICRO,SPST,0.02A,15VDC,2.5N,SMD</t>
  </si>
  <si>
    <t>SW200007503</t>
  </si>
  <si>
    <t>SW,SM,SPST,PUSH-ON,50MA,12VDC,2.2N</t>
  </si>
  <si>
    <t>SW200007703</t>
  </si>
  <si>
    <t>SW,TACT,SPST,12V,50mA,RED</t>
  </si>
  <si>
    <t>TP012100102</t>
  </si>
  <si>
    <t>HOOD LATCH COVER LH(EB3B-16F037 CA)</t>
  </si>
  <si>
    <t>TP012100202</t>
  </si>
  <si>
    <t>HOOD LATCH COVER RH(EB3B-16F037 DA)</t>
  </si>
  <si>
    <t>TP012100302</t>
  </si>
  <si>
    <t>HOOD LATCH COVER, RHD(EB3B 16F037 BB)FTM</t>
  </si>
  <si>
    <t>TP012100502</t>
  </si>
  <si>
    <t>HOOD LATCH COVER, LHD(EB3B 16F037 AB)</t>
  </si>
  <si>
    <t>TP012100602</t>
  </si>
  <si>
    <t>HOOD LATCH COVER, LH(EB3B 16F037 CB)</t>
  </si>
  <si>
    <t>TP012100802</t>
  </si>
  <si>
    <t>HOOD LATCH COVER, RHD(EB3B 16F037 BC)FTM</t>
  </si>
  <si>
    <t>TP012100902</t>
  </si>
  <si>
    <t>HOOD LATCH COVER, RHD(EB3B 16F037 BC)</t>
  </si>
  <si>
    <t>TP012500102</t>
  </si>
  <si>
    <t>Label TTR  2.3*2.8cm(Glue removable)</t>
  </si>
  <si>
    <t>TP022000202</t>
  </si>
  <si>
    <t>Kepital POM AC FU2025 Natural RoHS</t>
  </si>
  <si>
    <t>TP022000302</t>
  </si>
  <si>
    <t>Sabic PC PC1003R Clear RoHS</t>
  </si>
  <si>
    <t>TP022100202</t>
  </si>
  <si>
    <t>Lens, Door Courtesy Lamp (8411A005)</t>
  </si>
  <si>
    <t>TP022500102</t>
  </si>
  <si>
    <t>CR Foam T0.9mm RoHS</t>
  </si>
  <si>
    <t>TP032000102</t>
  </si>
  <si>
    <t>Advanced PP Compound ADX-5023T OG</t>
  </si>
  <si>
    <t>TP032100102</t>
  </si>
  <si>
    <t>EXT FRT BMPR REINF RH (F1EB-17K874-ACW)</t>
  </si>
  <si>
    <t>TP032100202</t>
  </si>
  <si>
    <t>EXT FRT BMPR REINF LH (F1EB-17K875-ACW)</t>
  </si>
  <si>
    <t>TP032100302</t>
  </si>
  <si>
    <t>COVER-D/SEAT SHLDR BELT GDE TR (52085715</t>
  </si>
  <si>
    <t>TP032100402</t>
  </si>
  <si>
    <t>REINF FRT BMPR CVR MTG RH (BM51 17D958AE</t>
  </si>
  <si>
    <t>TP032100502</t>
  </si>
  <si>
    <t>REINF FRT BMPR CVR MTG LH (BM51 17D959AE</t>
  </si>
  <si>
    <t>TP032100602</t>
  </si>
  <si>
    <t>BRKT RR BMPR MTG LWR (BM51 A17B918AE)</t>
  </si>
  <si>
    <t>TR200007203</t>
  </si>
  <si>
    <t>XSTR,FET GEN PURPOSE SMALL SIG,MOSFET</t>
  </si>
  <si>
    <t>TR200012803</t>
  </si>
  <si>
    <t>XSTR,BIP RF NPN,6V,0.035A,3Pin</t>
  </si>
  <si>
    <t>TR200012903</t>
  </si>
  <si>
    <t>XSTR,BIP GP,NPN/PNP,SOT363,50V,100mA,6P</t>
  </si>
  <si>
    <t>TR200013003</t>
  </si>
  <si>
    <t>XSTR,BIP GP,NPN,T3904,SM,40V,0.2A,SC-70</t>
  </si>
  <si>
    <t>TR200013103</t>
  </si>
  <si>
    <t>XSTR,BIP RF 6V 0.03A 3Pin</t>
  </si>
  <si>
    <t>TR200013203</t>
  </si>
  <si>
    <t>XSTR,BIP GP SS,PNP,SM,SC-70,15V</t>
  </si>
  <si>
    <t>TR200013303</t>
  </si>
  <si>
    <t>XSTR,BIP GP SS,PNP,SM,SC-70,SMT,-50V</t>
  </si>
  <si>
    <t>TR200013403</t>
  </si>
  <si>
    <t>XSTR,BIP GP SS,NPN,SM,SMT6,50V,.15A</t>
  </si>
  <si>
    <t>TR200020803</t>
  </si>
  <si>
    <t>XSTR, AMP,VHF-UHF LOW NOISE, 20V, 80MA</t>
  </si>
  <si>
    <t>YT012513603</t>
  </si>
  <si>
    <t>LABEL, MAIN PCBA,C9660</t>
  </si>
  <si>
    <t>KR051530104011</t>
  </si>
  <si>
    <t>A12</t>
  </si>
  <si>
    <t>KR051530104012</t>
  </si>
  <si>
    <t>PO No.</t>
  </si>
  <si>
    <t>SAP NO:</t>
  </si>
  <si>
    <t>TA219</t>
  </si>
  <si>
    <t>/</t>
  </si>
  <si>
    <t>Hi-P INTERNATIONAL LIMITED</t>
  </si>
  <si>
    <t>KR051530104013</t>
  </si>
  <si>
    <t>A100</t>
  </si>
  <si>
    <t>A200</t>
  </si>
  <si>
    <t>KR0511134044567820</t>
  </si>
  <si>
    <t>0000000000</t>
  </si>
  <si>
    <t>KR051523004000000000014</t>
  </si>
  <si>
    <t>1/4</t>
  </si>
  <si>
    <t>KR051523004000000000012</t>
  </si>
  <si>
    <t>KR051523004000000000032</t>
  </si>
  <si>
    <t>3/2</t>
  </si>
  <si>
    <t>A222</t>
  </si>
  <si>
    <t>KR051523004000000000022</t>
  </si>
  <si>
    <t>KR051523004000000000177</t>
  </si>
  <si>
    <t>KR051523004000000000277</t>
  </si>
  <si>
    <t>KR051523004000000000377</t>
  </si>
  <si>
    <t>2/2</t>
  </si>
  <si>
    <t>URL</t>
  </si>
  <si>
    <t>KR0515197040000000000112711201605</t>
  </si>
  <si>
    <t>F6-E05-01</t>
  </si>
  <si>
    <t>KR051528904000000000068872711201621</t>
  </si>
  <si>
    <t>F6-E09-02</t>
  </si>
  <si>
    <t>F6-E08-02</t>
  </si>
  <si>
    <t>KR051528904000000000067872711201621</t>
  </si>
  <si>
    <t>KR051516104000000000059932711201549</t>
  </si>
  <si>
    <t>67/87</t>
  </si>
  <si>
    <t>F6-D10-01</t>
  </si>
  <si>
    <t>59/93</t>
  </si>
  <si>
    <t>KR051516104000000000060932711201549</t>
  </si>
  <si>
    <t>F6-D09-01</t>
  </si>
  <si>
    <t>60/93</t>
  </si>
  <si>
    <t>68/87</t>
  </si>
  <si>
    <t>KR051516104000000000061932711201549</t>
  </si>
  <si>
    <t>F6-D08-01</t>
  </si>
  <si>
    <t>61/93</t>
  </si>
  <si>
    <t>KR051516104000000000062932711201549</t>
  </si>
  <si>
    <t>F6-D07-01</t>
  </si>
  <si>
    <t>62/93</t>
  </si>
  <si>
    <t>KR051516104000000000063932711201549</t>
  </si>
  <si>
    <t>F6-D06-01</t>
  </si>
  <si>
    <t>63/93</t>
  </si>
  <si>
    <t>KR051516104000000000064932711201549</t>
  </si>
  <si>
    <t>F6-D05-01</t>
  </si>
  <si>
    <t>64/93</t>
  </si>
  <si>
    <t>KR051516104000000000065932711201549</t>
  </si>
  <si>
    <t>F6-D04-01</t>
  </si>
  <si>
    <t>65/93</t>
  </si>
  <si>
    <t>KR051516104000000000066932711201549</t>
  </si>
  <si>
    <t>F6-D03-01</t>
  </si>
  <si>
    <t>66/93</t>
  </si>
  <si>
    <t>KR051516104000000000067932711201549</t>
  </si>
  <si>
    <t>F6-D02-01</t>
  </si>
  <si>
    <t>67/93</t>
  </si>
  <si>
    <t>KR051516104000000000052932711201549</t>
  </si>
  <si>
    <t>F6-D01-01</t>
  </si>
  <si>
    <t>52/93</t>
  </si>
  <si>
    <t>KR0515164040000000000112711201558</t>
  </si>
  <si>
    <t>F6-B03-01</t>
  </si>
  <si>
    <t>11/27</t>
  </si>
  <si>
    <t>KR05151970400000000002182711201608</t>
  </si>
  <si>
    <t>F6-C04-01</t>
  </si>
  <si>
    <t>21/82</t>
  </si>
  <si>
    <t>KR05151970400000000001182711201608</t>
  </si>
  <si>
    <t>F6-C03-01</t>
  </si>
  <si>
    <t>11/82</t>
  </si>
  <si>
    <t>KR05151970400000000003182711201608</t>
  </si>
  <si>
    <t>F6-C05-01</t>
  </si>
  <si>
    <t>31/82</t>
  </si>
  <si>
    <t>KR05151970400000000004182711201608</t>
  </si>
  <si>
    <t>F6-C06-01</t>
  </si>
  <si>
    <t>41/82</t>
  </si>
  <si>
    <t>KR05151970400000000005182711201608</t>
  </si>
  <si>
    <t>F6-C07-01</t>
  </si>
  <si>
    <t>51/82</t>
  </si>
  <si>
    <t>KR05151970400000000006182711201608</t>
  </si>
  <si>
    <t>F6-C08-02</t>
  </si>
  <si>
    <t>61/82</t>
  </si>
  <si>
    <t>KR05151970400000000008182711201608</t>
  </si>
  <si>
    <t>F6-C10-01</t>
  </si>
  <si>
    <t>81/82</t>
  </si>
  <si>
    <t>KR05151970400000000007182711201608</t>
  </si>
  <si>
    <t>F6-C09-02</t>
  </si>
  <si>
    <t>71/82</t>
  </si>
  <si>
    <t>KR051516104000000000068932711201549</t>
  </si>
  <si>
    <t>F6-B10-01</t>
  </si>
  <si>
    <t>68/93</t>
  </si>
  <si>
    <t>KR051516104000000000069932711201549</t>
  </si>
  <si>
    <t>F6-B09-01</t>
  </si>
  <si>
    <t>69/93</t>
  </si>
  <si>
    <t>KR051516104000000000053932711201549</t>
  </si>
  <si>
    <t>F6-B08-01</t>
  </si>
  <si>
    <t>53/93</t>
  </si>
  <si>
    <t>KR051516104000000000054932711201549</t>
  </si>
  <si>
    <t>F6-B07-01</t>
  </si>
  <si>
    <t>54/93</t>
  </si>
  <si>
    <t>KR051516104000000000057932711201549</t>
  </si>
  <si>
    <t>F6-B02-01</t>
  </si>
  <si>
    <t>57/93</t>
  </si>
  <si>
    <t>KR051516104000000000058932711201549</t>
  </si>
  <si>
    <t>F6-B01-01</t>
  </si>
  <si>
    <t>58/93</t>
  </si>
  <si>
    <t>KR05151640400000000001212711201559</t>
  </si>
  <si>
    <t>F6-B04-01</t>
  </si>
  <si>
    <t>12/12</t>
  </si>
  <si>
    <t>KR051516104000000000056932711201549</t>
  </si>
  <si>
    <t>F6-B5-01</t>
  </si>
  <si>
    <t>56/93</t>
  </si>
  <si>
    <t>KR051516104000000000055932711201549</t>
  </si>
  <si>
    <t>F6-B06-01</t>
  </si>
  <si>
    <t>55/93</t>
  </si>
  <si>
    <t>KR05151610400000000003932711201549</t>
  </si>
  <si>
    <t>F6-A08-01</t>
  </si>
  <si>
    <t>39/32</t>
  </si>
  <si>
    <t>KR05151610400000000001932711201549</t>
  </si>
  <si>
    <t>F6-A10-01</t>
  </si>
  <si>
    <t>19/32</t>
  </si>
  <si>
    <t>KR05151610400000000002932711201549</t>
  </si>
  <si>
    <t>F6-A09-01</t>
  </si>
  <si>
    <t>29/32</t>
  </si>
  <si>
    <t>KR05152300458000062621024</t>
  </si>
  <si>
    <t>F6-K01-02</t>
  </si>
  <si>
    <t>5800006262</t>
  </si>
  <si>
    <t>10/24</t>
  </si>
  <si>
    <t>KR05152300458000062621724</t>
  </si>
  <si>
    <t>F6-K06-02</t>
  </si>
  <si>
    <t>17/24</t>
  </si>
  <si>
    <t>KR05152300458000062621624</t>
  </si>
  <si>
    <t>F6-K07-02</t>
  </si>
  <si>
    <t>16/24</t>
  </si>
  <si>
    <t>KR05152300458000062621524</t>
  </si>
  <si>
    <t>F6-K02-02</t>
  </si>
  <si>
    <t>15/24</t>
  </si>
  <si>
    <t>KR05152300458000062621424</t>
  </si>
  <si>
    <t>F6-K03-02</t>
  </si>
  <si>
    <t>14/24</t>
  </si>
  <si>
    <t>KR05152300458000062621324</t>
  </si>
  <si>
    <t>F6-K04-02</t>
  </si>
  <si>
    <t>13/24</t>
  </si>
  <si>
    <t>KR05152300458000062621224</t>
  </si>
  <si>
    <t>F6-K05-02</t>
  </si>
  <si>
    <t>12/24</t>
  </si>
  <si>
    <t>KR05152300458000062621924</t>
  </si>
  <si>
    <t>F6-K08-02</t>
  </si>
  <si>
    <t>19/24</t>
  </si>
  <si>
    <t>KR05152300458000062621824</t>
  </si>
  <si>
    <t>F6-K09-02</t>
  </si>
  <si>
    <t>18/24</t>
  </si>
  <si>
    <t>KR05151610400000000004932711201549</t>
  </si>
  <si>
    <t>F6-A07-01</t>
  </si>
  <si>
    <t>49/32</t>
  </si>
  <si>
    <t>KR051514804580000644546</t>
  </si>
  <si>
    <t>KR0515230045300006262720'06240112200905</t>
  </si>
  <si>
    <t>OF</t>
  </si>
  <si>
    <t>5300006262</t>
  </si>
  <si>
    <t>KR0515230045300006262720'07240112200905</t>
  </si>
  <si>
    <t>KR051523004530000626272018240112200905</t>
  </si>
  <si>
    <t>KR051523004530000626272016240112200905</t>
  </si>
  <si>
    <t>KR051523004530000626272015240112200905</t>
  </si>
  <si>
    <t>06/24</t>
  </si>
  <si>
    <t>07/24</t>
  </si>
  <si>
    <t>KR051523004530000626272017240112200905</t>
  </si>
  <si>
    <t>KR0515230045800006262824</t>
  </si>
  <si>
    <t>8/24</t>
  </si>
  <si>
    <t>KR05152880400000000009122711201618</t>
  </si>
  <si>
    <t>91/22</t>
  </si>
  <si>
    <t>KR05152880400000000008122711201618</t>
  </si>
  <si>
    <t>81/22</t>
  </si>
  <si>
    <t>KR0515230045800006262924</t>
  </si>
  <si>
    <t>92/4</t>
  </si>
  <si>
    <t>KR0515230045800006262724</t>
  </si>
  <si>
    <t>72/4</t>
  </si>
  <si>
    <t>5800006445</t>
  </si>
  <si>
    <t>KR051523004530000626272024240112200905</t>
  </si>
  <si>
    <t>72/02</t>
  </si>
  <si>
    <t>KR051523004530000626272023240112200905</t>
  </si>
  <si>
    <t>KR051523004530000626272014240112200905</t>
  </si>
  <si>
    <t>72/01</t>
  </si>
  <si>
    <t>KR0515230045300006262720'05240112200905</t>
  </si>
  <si>
    <t>72/0'</t>
  </si>
  <si>
    <t>KR0515230045300006262720'04240112200905</t>
  </si>
  <si>
    <t>KR0515230045300006262720'03240112200905</t>
  </si>
  <si>
    <t>KR0515230045300006262720'02240112200905</t>
  </si>
  <si>
    <t>KR0515230045300006262720'01240112200905</t>
  </si>
  <si>
    <t>KR051523004530000626272022240112200905</t>
  </si>
  <si>
    <t>KR051523004530000626272021240112200905</t>
  </si>
  <si>
    <t>KR051523004530000626272012240112200905</t>
  </si>
  <si>
    <t>KR051523004530000626272011240112200905</t>
  </si>
  <si>
    <t>KR051523004530000626272010240112200905</t>
  </si>
  <si>
    <t>KR051523004530000626272020240112200905</t>
  </si>
  <si>
    <t>KR051523004530000626272019240112200905</t>
  </si>
  <si>
    <t>KR0515230045300006262720'09240112200905</t>
  </si>
  <si>
    <t>KR0515230045300006262720'08240112200905</t>
  </si>
  <si>
    <t>4/6</t>
  </si>
  <si>
    <t>24/24</t>
  </si>
  <si>
    <t>23/24</t>
  </si>
  <si>
    <t>05/24</t>
  </si>
  <si>
    <t>04/24</t>
  </si>
  <si>
    <t>03/24</t>
  </si>
  <si>
    <t>KR051514804580000644536</t>
  </si>
  <si>
    <t>36/</t>
  </si>
  <si>
    <t>KR051516104000000000070932711201549</t>
  </si>
  <si>
    <t>70/93</t>
  </si>
  <si>
    <t>KR051516104000000000071932711201549</t>
  </si>
  <si>
    <t>71/93</t>
  </si>
  <si>
    <t>KR0515158040000000000272711201541</t>
  </si>
  <si>
    <t>27/27</t>
  </si>
  <si>
    <t>KR051516104000000000073932711201549</t>
  </si>
  <si>
    <t>73/93</t>
  </si>
  <si>
    <t>KR051516104000000000072932711201549</t>
  </si>
  <si>
    <t>72/93</t>
  </si>
  <si>
    <t>KR051516104000000000074932711201549</t>
  </si>
  <si>
    <t>74/93</t>
  </si>
  <si>
    <t>KR051530304000000000052522711201637</t>
  </si>
  <si>
    <t>52/52</t>
  </si>
  <si>
    <t>KR05152300458000055561440'01120112201108</t>
  </si>
  <si>
    <t>5800005556</t>
  </si>
  <si>
    <t>14/40</t>
  </si>
  <si>
    <t>KR05152300458000055561440'02120112201108</t>
  </si>
  <si>
    <t>KR05152300458000055561440'03120112201108</t>
  </si>
  <si>
    <t>KR05152300458000055561440'05120112201108</t>
  </si>
  <si>
    <t>KR05152300458000055561440'06120112201108</t>
  </si>
  <si>
    <t>KR05152300458000055561440'07120112201108</t>
  </si>
  <si>
    <t>KR05152300458000055561440'08120112201108</t>
  </si>
  <si>
    <t>KR05152300458000055561440'09120112201108</t>
  </si>
  <si>
    <t>KR0515230045800005556144010120112201108</t>
  </si>
  <si>
    <t>KR0515230045800005556144011120112201108</t>
  </si>
  <si>
    <t>KR0515230045800005556144012120112201108</t>
  </si>
  <si>
    <t>KR051530304000000000051522711201637</t>
  </si>
  <si>
    <t>51/52</t>
  </si>
  <si>
    <t>KR05151570400000000008152711631532</t>
  </si>
  <si>
    <t>81/52</t>
  </si>
  <si>
    <t>KR0515148045800006445065.71428571428571070000112201826</t>
  </si>
  <si>
    <t>06/5.</t>
  </si>
  <si>
    <t>KR0515148045800006445055.71428571428571070000112201826</t>
  </si>
  <si>
    <t>05/5.</t>
  </si>
  <si>
    <t>KR0515148045800006445025.71428571428571070000112201826</t>
  </si>
  <si>
    <t>F6-F08-01</t>
  </si>
  <si>
    <t>02/5.</t>
  </si>
  <si>
    <t>KR0515148045800006445045.71428571428571070000112201826</t>
  </si>
  <si>
    <t>F6-F07-01</t>
  </si>
  <si>
    <t>04/5.</t>
  </si>
  <si>
    <t>KR0515148045800006445035.71428571428571070000112201826</t>
  </si>
  <si>
    <t>F6-F06-01</t>
  </si>
  <si>
    <t>03/5.</t>
  </si>
  <si>
    <t>KR0515148045800006445015.71428571428571070000112201826</t>
  </si>
  <si>
    <t>F6-F05-01</t>
  </si>
  <si>
    <t>01/5.</t>
  </si>
  <si>
    <t>F6-F09-01</t>
  </si>
  <si>
    <t>F6-F10-01</t>
  </si>
  <si>
    <t>KR05150010458000062000511067200212201811</t>
  </si>
  <si>
    <t>5800006200</t>
  </si>
  <si>
    <t>05/11</t>
  </si>
  <si>
    <t>KR051530304000000000049522711201637</t>
  </si>
  <si>
    <t>49/52</t>
  </si>
  <si>
    <t>Receive Date :</t>
  </si>
  <si>
    <t>test</t>
  </si>
  <si>
    <t>KR051530304000000000046522711201637</t>
  </si>
  <si>
    <t>46/52</t>
  </si>
  <si>
    <t>KR05152300400000000003402711201610</t>
  </si>
  <si>
    <t>34/02</t>
  </si>
  <si>
    <t>KR051523004000000000014402711201610</t>
  </si>
  <si>
    <t>KR051523004000000000037402711201610</t>
  </si>
  <si>
    <t>37/40</t>
  </si>
  <si>
    <t>KR0515303045800005236046.48148148148148032400412200958</t>
  </si>
  <si>
    <t>5800005236</t>
  </si>
  <si>
    <t>04/6.</t>
  </si>
  <si>
    <t>KR05152300400000000007402711201610</t>
  </si>
  <si>
    <t>74/02</t>
  </si>
  <si>
    <t>KR05151610458000067050408009000412200949</t>
  </si>
  <si>
    <t>5800006705</t>
  </si>
  <si>
    <t>04/08</t>
  </si>
  <si>
    <t>KR05151610458000067050808009000412200949</t>
  </si>
  <si>
    <t>08/08</t>
  </si>
  <si>
    <t>KR05151610458000067050108009000412200949</t>
  </si>
  <si>
    <t>01/08</t>
  </si>
  <si>
    <t>KR05151610458000067050208009000412200949</t>
  </si>
  <si>
    <t>02/08</t>
  </si>
  <si>
    <t>KR0515158045800006145011.33333333333333048600212201848</t>
  </si>
  <si>
    <t>5800006145</t>
  </si>
  <si>
    <t>01/1.</t>
  </si>
  <si>
    <t>KR05151570400000000005152711631532</t>
  </si>
  <si>
    <t>KR05151610458000067050308009000412200949</t>
  </si>
  <si>
    <t>03/08</t>
  </si>
  <si>
    <t>KR0515158040000000000372711201541</t>
  </si>
  <si>
    <t>37/27</t>
  </si>
  <si>
    <t>KR0515303045800005236056.48148148148148032400412200958</t>
  </si>
  <si>
    <t>05/6.</t>
  </si>
  <si>
    <t>KR051523004000000000021402711201610</t>
  </si>
  <si>
    <t>21/40</t>
  </si>
  <si>
    <t>KR051523004000000000022402711201610</t>
  </si>
  <si>
    <t>22/40</t>
  </si>
  <si>
    <t>16-12-63</t>
  </si>
  <si>
    <t>16-12-20</t>
  </si>
  <si>
    <t>KR01500504</t>
  </si>
  <si>
    <t>17-12-20</t>
  </si>
  <si>
    <t>18-12-20</t>
  </si>
  <si>
    <t>21-12-20</t>
  </si>
  <si>
    <t>12/21/2020 11:00:24 AM</t>
  </si>
  <si>
    <t>KR0515148045800006445700001060812201947</t>
  </si>
  <si>
    <t>__-__-__</t>
  </si>
  <si>
    <t>22-12-20</t>
  </si>
  <si>
    <t>23-12-20</t>
  </si>
  <si>
    <t>24-12-20</t>
  </si>
  <si>
    <t>25-12-20</t>
  </si>
  <si>
    <t>kr051516104</t>
  </si>
  <si>
    <t xml:space="preserve">WO PO </t>
  </si>
  <si>
    <t>kr051519604</t>
  </si>
  <si>
    <t>SUPPLIER CODE</t>
  </si>
  <si>
    <t>Storage</t>
  </si>
  <si>
    <t>Supplier</t>
  </si>
  <si>
    <t>Type</t>
  </si>
  <si>
    <t>Type of transfer</t>
  </si>
  <si>
    <t>PSNP Box/Pallet</t>
  </si>
  <si>
    <t>SNP-1  Pcs/Box</t>
  </si>
  <si>
    <t>un_SNP1</t>
  </si>
  <si>
    <t>SNP-2 Pcs/Carton</t>
  </si>
  <si>
    <t>un_SNP2</t>
  </si>
  <si>
    <t>SNP-3 Pcs/Sub-Carton</t>
  </si>
  <si>
    <t>un_SNP3</t>
  </si>
  <si>
    <t>SNP for Issuing Q'ty</t>
  </si>
  <si>
    <t>PDO = 3668</t>
  </si>
  <si>
    <t>F17</t>
  </si>
  <si>
    <t>Box</t>
  </si>
  <si>
    <t>Tool Crip</t>
  </si>
  <si>
    <t>F6</t>
  </si>
  <si>
    <t>MATERIAL</t>
  </si>
  <si>
    <t>Weight</t>
  </si>
  <si>
    <t>1000</t>
  </si>
  <si>
    <t>25</t>
  </si>
  <si>
    <t>pcs</t>
  </si>
  <si>
    <t>5760</t>
  </si>
  <si>
    <t>XIAMEN YUREN TRADING LTD.</t>
  </si>
  <si>
    <t>Component</t>
  </si>
  <si>
    <t>10</t>
  </si>
  <si>
    <t>kg</t>
  </si>
  <si>
    <t>0</t>
  </si>
  <si>
    <t xml:space="preserve"> </t>
  </si>
  <si>
    <t>Kg</t>
  </si>
  <si>
    <t>F2</t>
  </si>
  <si>
    <t>F5</t>
  </si>
  <si>
    <t>Covestro</t>
  </si>
  <si>
    <t>500</t>
  </si>
  <si>
    <t>XIAMEN SKYPOT IMP &amp; EXP CO.,LTD</t>
  </si>
  <si>
    <t>Inabata Thai Co.,Ltd.</t>
  </si>
  <si>
    <t>Sojitz （Hong Kong） Limited</t>
  </si>
  <si>
    <t>SHANGHAI COLTEC PLASTIC TRADING CO.</t>
  </si>
  <si>
    <t>VIV Interchem Co.,Ltd</t>
  </si>
  <si>
    <t xml:space="preserve">Clariant </t>
  </si>
  <si>
    <t>DSI CORPORATION CO., LTD.</t>
  </si>
  <si>
    <t>XIN CHENG DA (XIA MEN) ELECTRONIC</t>
  </si>
  <si>
    <t>2,200</t>
  </si>
  <si>
    <t>Pcs</t>
  </si>
  <si>
    <t>Dachang Industries Co., Ltd</t>
  </si>
  <si>
    <t>4,290</t>
  </si>
  <si>
    <t>PCS</t>
  </si>
  <si>
    <t>715</t>
  </si>
  <si>
    <t>1,000</t>
  </si>
  <si>
    <t>100</t>
  </si>
  <si>
    <t>Xiamen Hengxing Xingye Machinery Co</t>
  </si>
  <si>
    <t>8,000</t>
  </si>
  <si>
    <t>INSERT</t>
  </si>
  <si>
    <t>ShenZhen City GuangYuFeng Rubber Co</t>
  </si>
  <si>
    <t>50,000</t>
  </si>
  <si>
    <t>3000</t>
  </si>
  <si>
    <t>2,000</t>
  </si>
  <si>
    <t>400</t>
  </si>
  <si>
    <t>50</t>
  </si>
  <si>
    <t>90,000</t>
  </si>
  <si>
    <t>Create Precision Hardware Co., Ltd</t>
  </si>
  <si>
    <t>30,000</t>
  </si>
  <si>
    <t>5000</t>
  </si>
  <si>
    <t>12,000</t>
  </si>
  <si>
    <t>2000</t>
  </si>
  <si>
    <t>40,000</t>
  </si>
  <si>
    <t>20,000</t>
  </si>
  <si>
    <t>Xiamen Jialishi Electric Technology</t>
  </si>
  <si>
    <t>70,000</t>
  </si>
  <si>
    <t>YUANLING TECHNOLOGY(H.K)LIMITED</t>
  </si>
  <si>
    <t>XIAMEN XIN LI SHENG PRINTING &amp;PACKI</t>
  </si>
  <si>
    <t>PACKAGE</t>
  </si>
  <si>
    <t>10000</t>
  </si>
  <si>
    <t>90</t>
  </si>
  <si>
    <t>XIAMEN XINGLIN YALING INDUSTRY&amp;TRAD</t>
  </si>
  <si>
    <t>Xiamen Changtian Enterprise Co.,Ltd</t>
  </si>
  <si>
    <t>XIAMEN FULONGCHANG PRINTING CO.,LTD</t>
  </si>
  <si>
    <t>120,000</t>
  </si>
  <si>
    <t>m</t>
  </si>
  <si>
    <t>Acumen Engineering (Thailand) Limit</t>
  </si>
  <si>
    <t>700</t>
  </si>
  <si>
    <t>CONJOIN TECHNOLOGY (HK) LIMITED.</t>
  </si>
  <si>
    <t>6720</t>
  </si>
  <si>
    <t>168</t>
  </si>
  <si>
    <t>11520</t>
  </si>
  <si>
    <t>240</t>
  </si>
  <si>
    <t>NEOPERL Faucet Components(Shanghai)</t>
  </si>
  <si>
    <t>14,400</t>
  </si>
  <si>
    <t>300</t>
  </si>
  <si>
    <t>Willas-Array Electronics(Hong Kong)</t>
  </si>
  <si>
    <t>5,000</t>
  </si>
  <si>
    <t>250</t>
  </si>
  <si>
    <t>F5 Floor 2</t>
  </si>
  <si>
    <t>JABIL VIETNAM COMPANY LTD</t>
  </si>
  <si>
    <t>520</t>
  </si>
  <si>
    <t>XIAMEN ZHONG XIN SHENG SPRING PRODU</t>
  </si>
  <si>
    <t>10,000</t>
  </si>
  <si>
    <t>160,000</t>
  </si>
  <si>
    <t>800</t>
  </si>
  <si>
    <t>160</t>
  </si>
  <si>
    <t>1500</t>
  </si>
  <si>
    <t>2,400</t>
  </si>
  <si>
    <t>24,000</t>
  </si>
  <si>
    <t>4,000</t>
  </si>
  <si>
    <t>No Std</t>
  </si>
  <si>
    <t>TOHO INTERNATIONAL CO.,LTD</t>
  </si>
  <si>
    <t>SHENZHEN ZHANWANG CONNECTOR TECHNOL</t>
  </si>
  <si>
    <t>80</t>
  </si>
  <si>
    <t>16000</t>
  </si>
  <si>
    <t>1,500</t>
  </si>
  <si>
    <t>4,800</t>
  </si>
  <si>
    <t>1200</t>
  </si>
  <si>
    <t>15,000</t>
  </si>
  <si>
    <t>1,100</t>
  </si>
  <si>
    <t>7000</t>
  </si>
  <si>
    <t>200</t>
  </si>
  <si>
    <t>462</t>
  </si>
  <si>
    <t>SUZHOU MINGYUYUAN ELECTRON MATERIAL</t>
  </si>
  <si>
    <t>16,650</t>
  </si>
  <si>
    <t>ml</t>
  </si>
  <si>
    <t>3330</t>
  </si>
  <si>
    <t>333</t>
  </si>
  <si>
    <t>Xiamen Yaxin Plastics Co., Ltd</t>
  </si>
  <si>
    <t>27720</t>
  </si>
  <si>
    <t>770</t>
  </si>
  <si>
    <t>1,816</t>
  </si>
  <si>
    <t>900</t>
  </si>
  <si>
    <t>30</t>
  </si>
  <si>
    <t>4860</t>
  </si>
  <si>
    <t>135</t>
  </si>
  <si>
    <t>2,100</t>
  </si>
  <si>
    <t>833</t>
  </si>
  <si>
    <t>Zoppas Industries Hangzhou Ltd.</t>
  </si>
  <si>
    <t>720</t>
  </si>
  <si>
    <t>60</t>
  </si>
  <si>
    <t>6480</t>
  </si>
  <si>
    <t>180</t>
  </si>
  <si>
    <t>1,280</t>
  </si>
  <si>
    <t>23100</t>
  </si>
  <si>
    <t>1,200</t>
  </si>
  <si>
    <t>3,200</t>
  </si>
  <si>
    <t>Shenzhen Jinsunway Mould CO.,Ltd.</t>
  </si>
  <si>
    <t>2400</t>
  </si>
  <si>
    <t>384</t>
  </si>
  <si>
    <t>32</t>
  </si>
  <si>
    <t>1,815</t>
  </si>
  <si>
    <t>Hi-P(Xiamen) Precision Plastics Man</t>
  </si>
  <si>
    <t>2,500</t>
  </si>
  <si>
    <t>3240</t>
  </si>
  <si>
    <t>216</t>
  </si>
  <si>
    <t>XIAMEN HAITOU LOGISTICS CO.,LTD</t>
  </si>
  <si>
    <t>Pallet</t>
  </si>
  <si>
    <t>KIM TECHNOLOGY (THAILAND) CO., LTD.</t>
  </si>
  <si>
    <t>K-MINI L</t>
  </si>
  <si>
    <t>540</t>
  </si>
  <si>
    <t>K-MINI R</t>
  </si>
  <si>
    <t>K-MINI PLUS L</t>
  </si>
  <si>
    <t>K-MINI PLUS R</t>
  </si>
  <si>
    <t>20</t>
  </si>
  <si>
    <t>6,000</t>
  </si>
  <si>
    <t>Hong Kong Honda Printing Holdings L</t>
  </si>
  <si>
    <t>Material</t>
  </si>
  <si>
    <t>144</t>
  </si>
  <si>
    <t>4536</t>
  </si>
  <si>
    <t>126</t>
  </si>
  <si>
    <t>13500</t>
  </si>
  <si>
    <t>450</t>
  </si>
  <si>
    <t>Eichenauer Heating Elements(Huai'An</t>
  </si>
  <si>
    <t>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</si>
</sst>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>
    <font>
      <sz val="11"/>
      <color theme="1"/>
      <name val="Calibri"/>
      <family val="2"/>
      <scheme val="minor"/>
    </font>
    <font>
      <b/>
      <sz val="40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b/>
      <sz val="16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sz val="30"/>
      <name val="Arial"/>
      <family val="2"/>
    </font>
    <font>
      <b/>
      <sz val="30"/>
      <name val="Arial"/>
      <family val="2"/>
    </font>
    <font>
      <sz val="30"/>
      <name val="Code 3 de 9"/>
      <charset val="2"/>
    </font>
    <font>
      <b/>
      <sz val="11"/>
      <name val="Arial Narrow"/>
      <family val="2"/>
    </font>
    <font>
      <sz val="11"/>
      <color theme="0"/>
      <name val="Calibri"/>
      <family val="2"/>
      <scheme val="minor"/>
    </font>
    <font>
      <b/>
      <sz val="48"/>
      <name val="Arial"/>
      <family val="2"/>
    </font>
    <font>
      <b/>
      <sz val="24"/>
      <name val="Arial Narrow"/>
      <family val="2"/>
    </font>
    <font>
      <b/>
      <sz val="28"/>
      <name val="Arial"/>
      <family val="2"/>
    </font>
    <font>
      <u/>
      <sz val="11"/>
      <color theme="10"/>
      <name val="Calibri"/>
      <family val="2"/>
      <scheme val="minor"/>
    </font>
    <font>
      <sz val="20"/>
      <name val="Arial"/>
      <family val="2"/>
    </font>
    <font>
      <b/>
      <sz val="20"/>
      <name val="Arial"/>
      <family val="2"/>
    </font>
    <font>
      <sz val="36"/>
      <name val="Arial"/>
      <family val="2"/>
    </font>
    <font>
      <b/>
      <sz val="200"/>
      <name val="Tahoma"/>
      <family val="2"/>
    </font>
    <font>
      <b/>
      <sz val="220"/>
      <name val="Arial"/>
      <family val="2"/>
    </font>
    <font>
      <sz val="100"/>
      <name val="Arial"/>
      <family val="2"/>
    </font>
    <font>
      <b/>
      <sz val="120"/>
      <name val="Arial"/>
      <family val="2"/>
    </font>
    <font>
      <b/>
      <sz val="48"/>
      <name val="Arial Narrow"/>
      <family val="2"/>
    </font>
    <font>
      <sz val="48"/>
      <name val="Arial"/>
      <family val="2"/>
    </font>
    <font>
      <b/>
      <sz val="72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7" fillId="0" borderId="0" applyNumberFormat="0" applyFill="0" applyBorder="0" applyAlignment="0" applyProtection="0"/>
  </cellStyleXfs>
  <cellXfs count="98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3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/>
    <xf numFmtId="0" fontId="2" fillId="0" borderId="0" xfId="1" applyAlignment="1">
      <alignment horizontal="left" vertical="center"/>
    </xf>
    <xf numFmtId="0" fontId="2" fillId="0" borderId="0" xfId="1" applyAlignment="1">
      <alignment horizontal="right" vertical="center"/>
    </xf>
    <xf numFmtId="0" fontId="2" fillId="0" borderId="0" xfId="1" applyAlignment="1">
      <alignment horizontal="center" vertical="center"/>
    </xf>
    <xf numFmtId="0" fontId="2" fillId="0" borderId="0" xfId="1" applyBorder="1" applyAlignment="1">
      <alignment horizontal="left" vertical="center"/>
    </xf>
    <xf numFmtId="0" fontId="2" fillId="0" borderId="0" xfId="1" applyBorder="1"/>
    <xf numFmtId="0" fontId="9" fillId="0" borderId="0" xfId="1" applyFont="1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3" fillId="2" borderId="0" xfId="0" applyFont="1" applyFill="1"/>
    <xf numFmtId="0" fontId="13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 vertical="center"/>
    </xf>
    <xf numFmtId="1" fontId="13" fillId="2" borderId="0" xfId="0" applyNumberFormat="1" applyFont="1" applyFill="1" applyAlignment="1">
      <alignment horizontal="center" vertical="center"/>
    </xf>
    <xf numFmtId="0" fontId="13" fillId="0" borderId="0" xfId="0" applyFont="1"/>
    <xf numFmtId="0" fontId="1" fillId="2" borderId="4" xfId="0" applyFont="1" applyFill="1" applyBorder="1" applyAlignment="1">
      <alignment horizontal="center" vertical="center"/>
    </xf>
    <xf numFmtId="3" fontId="1" fillId="2" borderId="4" xfId="0" applyNumberFormat="1" applyFont="1" applyFill="1" applyBorder="1" applyAlignment="1" applyProtection="1">
      <alignment horizontal="center" vertical="center"/>
      <protection locked="0"/>
    </xf>
    <xf numFmtId="0" fontId="1" fillId="2" borderId="4" xfId="0" applyFont="1" applyFill="1" applyBorder="1" applyAlignment="1">
      <alignment horizontal="left" vertical="center"/>
    </xf>
    <xf numFmtId="1" fontId="0" fillId="0" borderId="0" xfId="0" applyNumberFormat="1"/>
    <xf numFmtId="0" fontId="12" fillId="0" borderId="2" xfId="1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7" fillId="0" borderId="0" xfId="1" applyFont="1" applyFill="1" applyBorder="1" applyAlignment="1">
      <alignment vertical="center"/>
    </xf>
    <xf numFmtId="0" fontId="16" fillId="0" borderId="0" xfId="1" applyFont="1" applyBorder="1" applyAlignment="1">
      <alignment vertical="center"/>
    </xf>
    <xf numFmtId="0" fontId="16" fillId="0" borderId="0" xfId="1" applyFont="1" applyBorder="1" applyAlignment="1">
      <alignment horizontal="left" vertical="center"/>
    </xf>
    <xf numFmtId="1" fontId="0" fillId="0" borderId="0" xfId="0" quotePrefix="1" applyNumberFormat="1" applyAlignment="1">
      <alignment horizontal="center" vertical="center"/>
    </xf>
    <xf numFmtId="3" fontId="0" fillId="0" borderId="0" xfId="0" quotePrefix="1" applyNumberFormat="1" applyAlignment="1">
      <alignment horizontal="center" vertical="center"/>
    </xf>
    <xf numFmtId="0" fontId="17" fillId="0" borderId="0" xfId="2"/>
    <xf numFmtId="3" fontId="1" fillId="2" borderId="1" xfId="0" applyNumberFormat="1" applyFont="1" applyFill="1" applyBorder="1" applyAlignment="1" applyProtection="1">
      <alignment horizontal="center" vertical="center"/>
      <protection locked="0"/>
    </xf>
    <xf numFmtId="16" fontId="0" fillId="0" borderId="0" xfId="0" quotePrefix="1" applyNumberFormat="1" applyAlignment="1">
      <alignment horizontal="center" vertical="center"/>
    </xf>
    <xf numFmtId="0" fontId="13" fillId="2" borderId="0" xfId="0" applyFont="1" applyFill="1" applyBorder="1"/>
    <xf numFmtId="17" fontId="0" fillId="0" borderId="0" xfId="0" quotePrefix="1" applyNumberFormat="1" applyAlignment="1">
      <alignment horizontal="center" vertical="center"/>
    </xf>
    <xf numFmtId="0" fontId="18" fillId="0" borderId="0" xfId="1" quotePrefix="1" applyFont="1" applyBorder="1" applyAlignment="1">
      <alignment horizontal="right" vertical="center"/>
    </xf>
    <xf numFmtId="0" fontId="18" fillId="0" borderId="0" xfId="1" applyFont="1" applyBorder="1" applyAlignment="1">
      <alignment horizontal="center" vertical="center"/>
    </xf>
    <xf numFmtId="0" fontId="2" fillId="0" borderId="0" xfId="1" applyBorder="1" applyAlignment="1">
      <alignment horizontal="center"/>
    </xf>
    <xf numFmtId="0" fontId="20" fillId="0" borderId="0" xfId="1" applyFont="1" applyBorder="1"/>
    <xf numFmtId="0" fontId="9" fillId="0" borderId="0" xfId="1" applyFont="1" applyBorder="1"/>
    <xf numFmtId="14" fontId="0" fillId="0" borderId="0" xfId="0" applyNumberFormat="1" applyAlignment="1">
      <alignment horizontal="center"/>
    </xf>
    <xf numFmtId="0" fontId="15" fillId="0" borderId="0" xfId="1" applyFont="1" applyBorder="1" applyAlignment="1">
      <alignment horizontal="center" vertical="top"/>
    </xf>
    <xf numFmtId="0" fontId="9" fillId="0" borderId="0" xfId="1" applyFont="1" applyBorder="1" applyAlignment="1">
      <alignment horizontal="center"/>
    </xf>
    <xf numFmtId="0" fontId="3" fillId="0" borderId="0" xfId="1" applyFont="1" applyBorder="1"/>
    <xf numFmtId="0" fontId="10" fillId="0" borderId="0" xfId="1" applyFont="1" applyBorder="1"/>
    <xf numFmtId="0" fontId="2" fillId="0" borderId="0" xfId="1" applyBorder="1" applyAlignment="1">
      <alignment horizontal="right" vertical="center"/>
    </xf>
    <xf numFmtId="0" fontId="2" fillId="0" borderId="0" xfId="1" applyBorder="1" applyAlignment="1">
      <alignment horizontal="center" vertical="center"/>
    </xf>
    <xf numFmtId="1" fontId="19" fillId="0" borderId="0" xfId="1" quotePrefix="1" applyNumberFormat="1" applyFont="1" applyBorder="1" applyAlignment="1">
      <alignment horizontal="left" vertical="center"/>
    </xf>
    <xf numFmtId="0" fontId="14" fillId="0" borderId="0" xfId="1" applyFont="1" applyBorder="1" applyAlignment="1">
      <alignment vertical="center"/>
    </xf>
    <xf numFmtId="0" fontId="8" fillId="0" borderId="0" xfId="1" applyFont="1" applyBorder="1"/>
    <xf numFmtId="0" fontId="11" fillId="0" borderId="0" xfId="1" applyFont="1" applyBorder="1" applyAlignment="1">
      <alignment horizontal="center" vertical="center"/>
    </xf>
    <xf numFmtId="0" fontId="22" fillId="0" borderId="0" xfId="1" applyFont="1" applyBorder="1" applyAlignment="1">
      <alignment vertical="center"/>
    </xf>
    <xf numFmtId="0" fontId="2" fillId="0" borderId="6" xfId="1" applyBorder="1"/>
    <xf numFmtId="0" fontId="2" fillId="0" borderId="7" xfId="1" applyBorder="1"/>
    <xf numFmtId="0" fontId="2" fillId="0" borderId="7" xfId="1" applyBorder="1" applyAlignment="1">
      <alignment horizontal="right" vertical="center"/>
    </xf>
    <xf numFmtId="0" fontId="2" fillId="0" borderId="7" xfId="1" applyBorder="1" applyAlignment="1">
      <alignment horizontal="center" vertical="center"/>
    </xf>
    <xf numFmtId="0" fontId="2" fillId="0" borderId="7" xfId="1" applyBorder="1" applyAlignment="1">
      <alignment horizontal="left" vertical="center"/>
    </xf>
    <xf numFmtId="0" fontId="2" fillId="0" borderId="7" xfId="1" applyBorder="1" applyAlignment="1">
      <alignment horizontal="center"/>
    </xf>
    <xf numFmtId="0" fontId="2" fillId="0" borderId="8" xfId="1" applyBorder="1"/>
    <xf numFmtId="0" fontId="3" fillId="0" borderId="9" xfId="1" applyFont="1" applyBorder="1"/>
    <xf numFmtId="0" fontId="2" fillId="0" borderId="10" xfId="1" applyBorder="1"/>
    <xf numFmtId="0" fontId="10" fillId="0" borderId="9" xfId="1" applyFont="1" applyBorder="1"/>
    <xf numFmtId="0" fontId="9" fillId="0" borderId="10" xfId="1" applyFont="1" applyBorder="1"/>
    <xf numFmtId="0" fontId="2" fillId="0" borderId="9" xfId="1" applyBorder="1"/>
    <xf numFmtId="0" fontId="2" fillId="0" borderId="11" xfId="1" applyBorder="1"/>
    <xf numFmtId="0" fontId="2" fillId="0" borderId="12" xfId="1" applyBorder="1"/>
    <xf numFmtId="0" fontId="2" fillId="0" borderId="12" xfId="1" applyBorder="1" applyAlignment="1">
      <alignment horizontal="right" vertical="center"/>
    </xf>
    <xf numFmtId="0" fontId="2" fillId="0" borderId="12" xfId="1" applyBorder="1" applyAlignment="1">
      <alignment horizontal="center" vertical="center"/>
    </xf>
    <xf numFmtId="0" fontId="2" fillId="0" borderId="12" xfId="1" applyBorder="1" applyAlignment="1">
      <alignment horizontal="left" vertical="center"/>
    </xf>
    <xf numFmtId="0" fontId="2" fillId="0" borderId="13" xfId="1" applyBorder="1"/>
    <xf numFmtId="0" fontId="26" fillId="0" borderId="0" xfId="1" applyFont="1" applyBorder="1" applyAlignment="1">
      <alignment horizontal="center"/>
    </xf>
    <xf numFmtId="0" fontId="2" fillId="0" borderId="12" xfId="1" applyBorder="1" applyAlignment="1">
      <alignment horizontal="center"/>
    </xf>
    <xf numFmtId="0" fontId="25" fillId="0" borderId="5" xfId="1" applyFont="1" applyBorder="1" applyAlignment="1">
      <alignment horizontal="left" vertical="center"/>
    </xf>
    <xf numFmtId="0" fontId="8" fillId="0" borderId="2" xfId="1" applyFont="1" applyBorder="1"/>
    <xf numFmtId="0" fontId="2" fillId="0" borderId="2" xfId="1" applyBorder="1"/>
    <xf numFmtId="0" fontId="7" fillId="0" borderId="2" xfId="1" applyFont="1" applyBorder="1"/>
    <xf numFmtId="0" fontId="2" fillId="0" borderId="14" xfId="1" applyBorder="1"/>
    <xf numFmtId="0" fontId="4" fillId="0" borderId="2" xfId="1" applyFont="1" applyBorder="1" applyAlignment="1">
      <alignment horizontal="center"/>
    </xf>
    <xf numFmtId="0" fontId="15" fillId="0" borderId="2" xfId="1" applyFont="1" applyBorder="1" applyAlignment="1">
      <alignment horizontal="center" vertical="top"/>
    </xf>
    <xf numFmtId="0" fontId="3" fillId="0" borderId="2" xfId="1" applyFont="1" applyBorder="1"/>
    <xf numFmtId="0" fontId="21" fillId="0" borderId="3" xfId="1" applyFont="1" applyFill="1" applyBorder="1" applyAlignment="1">
      <alignment horizontal="left" vertical="center"/>
    </xf>
    <xf numFmtId="0" fontId="21" fillId="0" borderId="2" xfId="1" applyFont="1" applyFill="1" applyBorder="1" applyAlignment="1">
      <alignment horizontal="left" vertical="center"/>
    </xf>
    <xf numFmtId="14" fontId="24" fillId="0" borderId="3" xfId="1" quotePrefix="1" applyNumberFormat="1" applyFont="1" applyFill="1" applyBorder="1" applyAlignment="1">
      <alignment horizontal="left" vertical="center"/>
    </xf>
    <xf numFmtId="14" fontId="24" fillId="0" borderId="2" xfId="1" applyNumberFormat="1" applyFont="1" applyFill="1" applyBorder="1" applyAlignment="1">
      <alignment horizontal="left" vertical="center"/>
    </xf>
    <xf numFmtId="1" fontId="23" fillId="0" borderId="3" xfId="1" quotePrefix="1" applyNumberFormat="1" applyFont="1" applyBorder="1" applyAlignment="1">
      <alignment horizontal="center" vertical="center"/>
    </xf>
    <xf numFmtId="1" fontId="23" fillId="0" borderId="2" xfId="1" quotePrefix="1" applyNumberFormat="1" applyFont="1" applyBorder="1" applyAlignment="1">
      <alignment horizontal="center" vertical="center"/>
    </xf>
    <xf numFmtId="14" fontId="27" fillId="0" borderId="3" xfId="1" applyNumberFormat="1" applyFont="1" applyFill="1" applyBorder="1" applyAlignment="1">
      <alignment vertical="center"/>
    </xf>
    <xf numFmtId="0" fontId="9" fillId="0" borderId="10" xfId="1" applyFont="1" applyBorder="1" applyAlignment="1">
      <alignment horizontal="center"/>
    </xf>
  </cellXfs>
  <cellStyles count="3">
    <cellStyle name="Hyperlink" xfId="2" builtinId="8"/>
    <cellStyle name="Normal" xfId="0" builtinId="0"/>
    <cellStyle name="Normal 2" xfId="1"/>
  </cellStyles>
  <dxfs count="16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5EE46E"/>
      <color rgb="FF6FEF72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http://qrcode.kaywa.com/img.php?s=8&amp;d=KR051816504000000000000050008150401211014" TargetMode="External"/><Relationship Id="rId13" Type="http://schemas.openxmlformats.org/officeDocument/2006/relationships/image" Target="http://qrcode.kaywa.com/img.php?s=8&amp;d=KR051816504000000000000050013150401211014" TargetMode="External"/><Relationship Id="rId3" Type="http://schemas.openxmlformats.org/officeDocument/2006/relationships/image" Target="http://qrcode.kaywa.com/img.php?s=8&amp;d=KR051816504000000000000050003150401211014" TargetMode="External"/><Relationship Id="rId7" Type="http://schemas.openxmlformats.org/officeDocument/2006/relationships/image" Target="http://qrcode.kaywa.com/img.php?s=8&amp;d=KR051816504000000000000050007150401211014" TargetMode="External"/><Relationship Id="rId12" Type="http://schemas.openxmlformats.org/officeDocument/2006/relationships/image" Target="http://qrcode.kaywa.com/img.php?s=8&amp;d=KR051816504000000000000050012150401211014" TargetMode="External"/><Relationship Id="rId2" Type="http://schemas.openxmlformats.org/officeDocument/2006/relationships/image" Target="http://qrcode.kaywa.com/img.php?s=8&amp;d=KR051816504000000000000050002150401211014" TargetMode="External"/><Relationship Id="rId1" Type="http://schemas.openxmlformats.org/officeDocument/2006/relationships/image" Target="http://qrcode.kaywa.com/img.php?s=8&amp;d=KR051816504000000000000050001150401211014" TargetMode="External"/><Relationship Id="rId6" Type="http://schemas.openxmlformats.org/officeDocument/2006/relationships/image" Target="http://qrcode.kaywa.com/img.php?s=8&amp;d=KR051816504000000000000050006150401211014" TargetMode="External"/><Relationship Id="rId11" Type="http://schemas.openxmlformats.org/officeDocument/2006/relationships/image" Target="http://qrcode.kaywa.com/img.php?s=8&amp;d=KR051816504000000000000050011150401211014" TargetMode="External"/><Relationship Id="rId5" Type="http://schemas.openxmlformats.org/officeDocument/2006/relationships/image" Target="http://qrcode.kaywa.com/img.php?s=8&amp;d=KR051816504000000000000050005150401211014" TargetMode="External"/><Relationship Id="rId15" Type="http://schemas.openxmlformats.org/officeDocument/2006/relationships/image" Target="http://qrcode.kaywa.com/img.php?s=8&amp;d=KR051816504000000000000050015150401211014" TargetMode="External"/><Relationship Id="rId10" Type="http://schemas.openxmlformats.org/officeDocument/2006/relationships/image" Target="http://qrcode.kaywa.com/img.php?s=8&amp;d=KR051816504000000000000050010150401211014" TargetMode="External"/><Relationship Id="rId4" Type="http://schemas.openxmlformats.org/officeDocument/2006/relationships/image" Target="http://qrcode.kaywa.com/img.php?s=8&amp;d=KR051816504000000000000050004150401211014" TargetMode="External"/><Relationship Id="rId9" Type="http://schemas.openxmlformats.org/officeDocument/2006/relationships/image" Target="http://qrcode.kaywa.com/img.php?s=8&amp;d=KR051816504000000000000050009150401211014" TargetMode="External"/><Relationship Id="rId14" Type="http://schemas.openxmlformats.org/officeDocument/2006/relationships/image" Target="http://qrcode.kaywa.com/img.php?s=8&amp;d=KR051816504000000000000050014150401211014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1992657</xdr:colOff>
      <xdr:row>0</xdr:row>
      <xdr:rowOff>74110</xdr:rowOff>
    </xdr:from>
    <xdr:ext cx="6358857" cy="1125501"/>
    <xdr:sp macro="" textlink="">
      <xdr:nvSpPr>
        <xdr:cNvPr id="2" name="Rectangle 1"/>
        <xdr:cNvSpPr/>
      </xdr:nvSpPr>
      <xdr:spPr>
        <a:xfrm>
          <a:off x="2306982" y="74110"/>
          <a:ext cx="6358857" cy="112550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6600" b="1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</a:rPr>
            <a:t>Material Stock In 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1819275</xdr:colOff>
          <xdr:row>13</xdr:row>
          <xdr:rowOff>123825</xdr:rowOff>
        </xdr:from>
        <xdr:to>
          <xdr:col>4</xdr:col>
          <xdr:colOff>4457700</xdr:colOff>
          <xdr:row>18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5495925</xdr:colOff>
          <xdr:row>19</xdr:row>
          <xdr:rowOff>85725</xdr:rowOff>
        </xdr:from>
        <xdr:to>
          <xdr:col>4</xdr:col>
          <xdr:colOff>6724650</xdr:colOff>
          <xdr:row>21</xdr:row>
          <xdr:rowOff>76200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504825</xdr:colOff>
          <xdr:row>3</xdr:row>
          <xdr:rowOff>47625</xdr:rowOff>
        </xdr:from>
        <xdr:to>
          <xdr:col>11</xdr:col>
          <xdr:colOff>95250</xdr:colOff>
          <xdr:row>5</xdr:row>
          <xdr:rowOff>28575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3</xdr:row>
      <xdr:rowOff>0</xdr:rowOff>
    </xdr:from>
    <xdr:to>
      <xdr:col>18</xdr:col>
      <xdr:colOff>478515</xdr:colOff>
      <xdr:row>6</xdr:row>
      <xdr:rowOff>476250</xdr:rowOff>
    </xdr:to>
    <xdr:pic>
      <xdr:nvPicPr>
        <xdr:cNvPr id="101" name="Picture 10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116175" y="885825"/>
          <a:ext cx="2307315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33</xdr:row>
      <xdr:rowOff>0</xdr:rowOff>
    </xdr:from>
    <xdr:to>
      <xdr:col>18</xdr:col>
      <xdr:colOff>478515</xdr:colOff>
      <xdr:row>36</xdr:row>
      <xdr:rowOff>476250</xdr:rowOff>
    </xdr:to>
    <xdr:pic>
      <xdr:nvPicPr>
        <xdr:cNvPr id="102" name="Picture 10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097125" y="904875"/>
          <a:ext cx="2335890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18</xdr:row>
      <xdr:rowOff>0</xdr:rowOff>
    </xdr:from>
    <xdr:to>
      <xdr:col>18</xdr:col>
      <xdr:colOff>478515</xdr:colOff>
      <xdr:row>21</xdr:row>
      <xdr:rowOff>476250</xdr:rowOff>
    </xdr:to>
    <xdr:pic>
      <xdr:nvPicPr>
        <xdr:cNvPr id="103" name="Picture 10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5116175" y="15506700"/>
          <a:ext cx="2307315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48</xdr:row>
      <xdr:rowOff>0</xdr:rowOff>
    </xdr:from>
    <xdr:to>
      <xdr:col>18</xdr:col>
      <xdr:colOff>478515</xdr:colOff>
      <xdr:row>51</xdr:row>
      <xdr:rowOff>476250</xdr:rowOff>
    </xdr:to>
    <xdr:pic>
      <xdr:nvPicPr>
        <xdr:cNvPr id="104" name="Picture 10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097125" y="904875"/>
          <a:ext cx="2335890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33</xdr:row>
      <xdr:rowOff>0</xdr:rowOff>
    </xdr:from>
    <xdr:to>
      <xdr:col>18</xdr:col>
      <xdr:colOff>478515</xdr:colOff>
      <xdr:row>36</xdr:row>
      <xdr:rowOff>476250</xdr:rowOff>
    </xdr:to>
    <xdr:pic>
      <xdr:nvPicPr>
        <xdr:cNvPr id="105" name="Picture 104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116175" y="30127575"/>
          <a:ext cx="2307315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</xdr:row>
      <xdr:rowOff>0</xdr:rowOff>
    </xdr:from>
    <xdr:to>
      <xdr:col>18</xdr:col>
      <xdr:colOff>478515</xdr:colOff>
      <xdr:row>66</xdr:row>
      <xdr:rowOff>476250</xdr:rowOff>
    </xdr:to>
    <xdr:pic>
      <xdr:nvPicPr>
        <xdr:cNvPr id="106" name="Picture 10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097125" y="904875"/>
          <a:ext cx="2335890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48</xdr:row>
      <xdr:rowOff>0</xdr:rowOff>
    </xdr:from>
    <xdr:to>
      <xdr:col>18</xdr:col>
      <xdr:colOff>478515</xdr:colOff>
      <xdr:row>51</xdr:row>
      <xdr:rowOff>476250</xdr:rowOff>
    </xdr:to>
    <xdr:pic>
      <xdr:nvPicPr>
        <xdr:cNvPr id="107" name="Picture 106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5116175" y="44748450"/>
          <a:ext cx="2307315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78</xdr:row>
      <xdr:rowOff>0</xdr:rowOff>
    </xdr:from>
    <xdr:to>
      <xdr:col>18</xdr:col>
      <xdr:colOff>478515</xdr:colOff>
      <xdr:row>81</xdr:row>
      <xdr:rowOff>476250</xdr:rowOff>
    </xdr:to>
    <xdr:pic>
      <xdr:nvPicPr>
        <xdr:cNvPr id="108" name="Picture 10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097125" y="904875"/>
          <a:ext cx="2335890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</xdr:row>
      <xdr:rowOff>0</xdr:rowOff>
    </xdr:from>
    <xdr:to>
      <xdr:col>18</xdr:col>
      <xdr:colOff>478515</xdr:colOff>
      <xdr:row>66</xdr:row>
      <xdr:rowOff>476250</xdr:rowOff>
    </xdr:to>
    <xdr:pic>
      <xdr:nvPicPr>
        <xdr:cNvPr id="109" name="Picture 108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5116175" y="59369325"/>
          <a:ext cx="2307315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93</xdr:row>
      <xdr:rowOff>0</xdr:rowOff>
    </xdr:from>
    <xdr:to>
      <xdr:col>18</xdr:col>
      <xdr:colOff>478515</xdr:colOff>
      <xdr:row>96</xdr:row>
      <xdr:rowOff>476250</xdr:rowOff>
    </xdr:to>
    <xdr:pic>
      <xdr:nvPicPr>
        <xdr:cNvPr id="110" name="Picture 10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097125" y="904875"/>
          <a:ext cx="2335890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78</xdr:row>
      <xdr:rowOff>0</xdr:rowOff>
    </xdr:from>
    <xdr:to>
      <xdr:col>18</xdr:col>
      <xdr:colOff>478515</xdr:colOff>
      <xdr:row>81</xdr:row>
      <xdr:rowOff>476250</xdr:rowOff>
    </xdr:to>
    <xdr:pic>
      <xdr:nvPicPr>
        <xdr:cNvPr id="111" name="Picture 110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5116175" y="73990200"/>
          <a:ext cx="2307315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108</xdr:row>
      <xdr:rowOff>0</xdr:rowOff>
    </xdr:from>
    <xdr:to>
      <xdr:col>18</xdr:col>
      <xdr:colOff>478515</xdr:colOff>
      <xdr:row>111</xdr:row>
      <xdr:rowOff>476250</xdr:rowOff>
    </xdr:to>
    <xdr:pic>
      <xdr:nvPicPr>
        <xdr:cNvPr id="112" name="Picture 1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097125" y="904875"/>
          <a:ext cx="2335890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93</xdr:row>
      <xdr:rowOff>0</xdr:rowOff>
    </xdr:from>
    <xdr:to>
      <xdr:col>18</xdr:col>
      <xdr:colOff>478515</xdr:colOff>
      <xdr:row>96</xdr:row>
      <xdr:rowOff>476250</xdr:rowOff>
    </xdr:to>
    <xdr:pic>
      <xdr:nvPicPr>
        <xdr:cNvPr id="113" name="Picture 112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5116175" y="88611075"/>
          <a:ext cx="2307315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123</xdr:row>
      <xdr:rowOff>0</xdr:rowOff>
    </xdr:from>
    <xdr:to>
      <xdr:col>18</xdr:col>
      <xdr:colOff>478515</xdr:colOff>
      <xdr:row>126</xdr:row>
      <xdr:rowOff>476250</xdr:rowOff>
    </xdr:to>
    <xdr:pic>
      <xdr:nvPicPr>
        <xdr:cNvPr id="114" name="Picture 1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097125" y="904875"/>
          <a:ext cx="2335890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108</xdr:row>
      <xdr:rowOff>0</xdr:rowOff>
    </xdr:from>
    <xdr:to>
      <xdr:col>18</xdr:col>
      <xdr:colOff>478515</xdr:colOff>
      <xdr:row>111</xdr:row>
      <xdr:rowOff>476250</xdr:rowOff>
    </xdr:to>
    <xdr:pic>
      <xdr:nvPicPr>
        <xdr:cNvPr id="115" name="Picture 114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116175" y="103231950"/>
          <a:ext cx="2307315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138</xdr:row>
      <xdr:rowOff>0</xdr:rowOff>
    </xdr:from>
    <xdr:to>
      <xdr:col>18</xdr:col>
      <xdr:colOff>478515</xdr:colOff>
      <xdr:row>141</xdr:row>
      <xdr:rowOff>476250</xdr:rowOff>
    </xdr:to>
    <xdr:pic>
      <xdr:nvPicPr>
        <xdr:cNvPr id="116" name="Picture 1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097125" y="904875"/>
          <a:ext cx="2335890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123</xdr:row>
      <xdr:rowOff>0</xdr:rowOff>
    </xdr:from>
    <xdr:to>
      <xdr:col>18</xdr:col>
      <xdr:colOff>478515</xdr:colOff>
      <xdr:row>126</xdr:row>
      <xdr:rowOff>476250</xdr:rowOff>
    </xdr:to>
    <xdr:pic>
      <xdr:nvPicPr>
        <xdr:cNvPr id="117" name="Picture 116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5116175" y="117852825"/>
          <a:ext cx="2307315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153</xdr:row>
      <xdr:rowOff>0</xdr:rowOff>
    </xdr:from>
    <xdr:to>
      <xdr:col>18</xdr:col>
      <xdr:colOff>478515</xdr:colOff>
      <xdr:row>156</xdr:row>
      <xdr:rowOff>476250</xdr:rowOff>
    </xdr:to>
    <xdr:pic>
      <xdr:nvPicPr>
        <xdr:cNvPr id="118" name="Picture 1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097125" y="904875"/>
          <a:ext cx="2335890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138</xdr:row>
      <xdr:rowOff>0</xdr:rowOff>
    </xdr:from>
    <xdr:to>
      <xdr:col>18</xdr:col>
      <xdr:colOff>478515</xdr:colOff>
      <xdr:row>141</xdr:row>
      <xdr:rowOff>476250</xdr:rowOff>
    </xdr:to>
    <xdr:pic>
      <xdr:nvPicPr>
        <xdr:cNvPr id="119" name="Picture 118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5116175" y="132473700"/>
          <a:ext cx="2307315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168</xdr:row>
      <xdr:rowOff>0</xdr:rowOff>
    </xdr:from>
    <xdr:to>
      <xdr:col>18</xdr:col>
      <xdr:colOff>478515</xdr:colOff>
      <xdr:row>171</xdr:row>
      <xdr:rowOff>476250</xdr:rowOff>
    </xdr:to>
    <xdr:pic>
      <xdr:nvPicPr>
        <xdr:cNvPr id="120" name="Picture 1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097125" y="904875"/>
          <a:ext cx="2335890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153</xdr:row>
      <xdr:rowOff>0</xdr:rowOff>
    </xdr:from>
    <xdr:to>
      <xdr:col>18</xdr:col>
      <xdr:colOff>478515</xdr:colOff>
      <xdr:row>156</xdr:row>
      <xdr:rowOff>476250</xdr:rowOff>
    </xdr:to>
    <xdr:pic>
      <xdr:nvPicPr>
        <xdr:cNvPr id="121" name="Picture 120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5116175" y="147094575"/>
          <a:ext cx="2307315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183</xdr:row>
      <xdr:rowOff>0</xdr:rowOff>
    </xdr:from>
    <xdr:to>
      <xdr:col>18</xdr:col>
      <xdr:colOff>478515</xdr:colOff>
      <xdr:row>186</xdr:row>
      <xdr:rowOff>476250</xdr:rowOff>
    </xdr:to>
    <xdr:pic>
      <xdr:nvPicPr>
        <xdr:cNvPr id="122" name="Picture 1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097125" y="904875"/>
          <a:ext cx="2335890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168</xdr:row>
      <xdr:rowOff>0</xdr:rowOff>
    </xdr:from>
    <xdr:to>
      <xdr:col>18</xdr:col>
      <xdr:colOff>478515</xdr:colOff>
      <xdr:row>171</xdr:row>
      <xdr:rowOff>476250</xdr:rowOff>
    </xdr:to>
    <xdr:pic>
      <xdr:nvPicPr>
        <xdr:cNvPr id="123" name="Picture 122"/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5116175" y="161715450"/>
          <a:ext cx="2307315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198</xdr:row>
      <xdr:rowOff>0</xdr:rowOff>
    </xdr:from>
    <xdr:to>
      <xdr:col>18</xdr:col>
      <xdr:colOff>478515</xdr:colOff>
      <xdr:row>201</xdr:row>
      <xdr:rowOff>476250</xdr:rowOff>
    </xdr:to>
    <xdr:pic>
      <xdr:nvPicPr>
        <xdr:cNvPr id="124" name="Picture 1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097125" y="904875"/>
          <a:ext cx="2335890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183</xdr:row>
      <xdr:rowOff>0</xdr:rowOff>
    </xdr:from>
    <xdr:to>
      <xdr:col>18</xdr:col>
      <xdr:colOff>478515</xdr:colOff>
      <xdr:row>186</xdr:row>
      <xdr:rowOff>476250</xdr:rowOff>
    </xdr:to>
    <xdr:pic>
      <xdr:nvPicPr>
        <xdr:cNvPr id="125" name="Picture 124"/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5116175" y="176336325"/>
          <a:ext cx="2307315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213</xdr:row>
      <xdr:rowOff>0</xdr:rowOff>
    </xdr:from>
    <xdr:to>
      <xdr:col>18</xdr:col>
      <xdr:colOff>478515</xdr:colOff>
      <xdr:row>216</xdr:row>
      <xdr:rowOff>476250</xdr:rowOff>
    </xdr:to>
    <xdr:pic>
      <xdr:nvPicPr>
        <xdr:cNvPr id="126" name="Picture 12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097125" y="904875"/>
          <a:ext cx="2335890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198</xdr:row>
      <xdr:rowOff>0</xdr:rowOff>
    </xdr:from>
    <xdr:to>
      <xdr:col>18</xdr:col>
      <xdr:colOff>478515</xdr:colOff>
      <xdr:row>201</xdr:row>
      <xdr:rowOff>476250</xdr:rowOff>
    </xdr:to>
    <xdr:pic>
      <xdr:nvPicPr>
        <xdr:cNvPr id="127" name="Picture 126"/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15116175" y="190957200"/>
          <a:ext cx="2307315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228</xdr:row>
      <xdr:rowOff>0</xdr:rowOff>
    </xdr:from>
    <xdr:to>
      <xdr:col>18</xdr:col>
      <xdr:colOff>478515</xdr:colOff>
      <xdr:row>231</xdr:row>
      <xdr:rowOff>476250</xdr:rowOff>
    </xdr:to>
    <xdr:pic>
      <xdr:nvPicPr>
        <xdr:cNvPr id="128" name="Picture 12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097125" y="904875"/>
          <a:ext cx="2335890" cy="2286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213</xdr:row>
      <xdr:rowOff>0</xdr:rowOff>
    </xdr:from>
    <xdr:to>
      <xdr:col>18</xdr:col>
      <xdr:colOff>478515</xdr:colOff>
      <xdr:row>216</xdr:row>
      <xdr:rowOff>476250</xdr:rowOff>
    </xdr:to>
    <xdr:pic>
      <xdr:nvPicPr>
        <xdr:cNvPr id="129" name="Picture 128"/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15116175" y="205578075"/>
          <a:ext cx="2307315" cy="22860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Query from Excel Files" connectionId="1" autoFormatId="16" applyNumberFormats="0" applyBorderFormats="0" applyFontFormats="0" applyPatternFormats="0" applyAlignmentFormats="0" applyWidthHeightFormats="0">
  <queryTableRefresh nextId="18">
    <queryTableFields count="17">
      <queryTableField id="1" name="SUPPLIER CODE" tableColumnId="1"/>
      <queryTableField id="2" name="SAP/No" tableColumnId="2"/>
      <queryTableField id="3" name="Discription" tableColumnId="3"/>
      <queryTableField id="4" name="Storage" tableColumnId="4"/>
      <queryTableField id="5" name="Supplier" tableColumnId="5"/>
      <queryTableField id="6" name="Type" tableColumnId="6"/>
      <queryTableField id="7" name="Type of transfer" tableColumnId="7"/>
      <queryTableField id="8" name="PSNP Box/Pallet" tableColumnId="8"/>
      <queryTableField id="9" name="SNP-1  Pcs/Box" tableColumnId="9"/>
      <queryTableField id="10" name="un_SNP1" tableColumnId="10"/>
      <queryTableField id="11" name="SNP-2 Pcs/Carton" tableColumnId="11"/>
      <queryTableField id="12" name="un_SNP2" tableColumnId="12"/>
      <queryTableField id="13" name="SNP-3 Pcs/Sub-Carton" tableColumnId="13"/>
      <queryTableField id="14" name="un_SNP3" tableColumnId="14"/>
      <queryTableField id="15" name="SNP for Issuing Q'ty" tableColumnId="15"/>
      <queryTableField id="16" name="PDO = 3668" tableColumnId="16"/>
      <queryTableField id="17" name="F17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Excel_Files" displayName="Table_Query_from_Excel_Files" ref="A1:Q1059" tableType="queryTable" totalsRowShown="0">
  <autoFilter ref="A1:Q1059"/>
  <tableColumns count="17">
    <tableColumn id="1" uniqueName="1" name="SUPPLIER CODE" queryTableFieldId="1"/>
    <tableColumn id="2" uniqueName="2" name="SAP/No" queryTableFieldId="2"/>
    <tableColumn id="3" uniqueName="3" name="Discription" queryTableFieldId="3"/>
    <tableColumn id="4" uniqueName="4" name="Storage" queryTableFieldId="4"/>
    <tableColumn id="5" uniqueName="5" name="Supplier" queryTableFieldId="5"/>
    <tableColumn id="6" uniqueName="6" name="Type" queryTableFieldId="6"/>
    <tableColumn id="7" uniqueName="7" name="Type of transfer" queryTableFieldId="7"/>
    <tableColumn id="8" uniqueName="8" name="PSNP Box/Pallet" queryTableFieldId="8"/>
    <tableColumn id="9" uniqueName="9" name="SNP-1  Pcs/Box" queryTableFieldId="9"/>
    <tableColumn id="10" uniqueName="10" name="un_SNP1" queryTableFieldId="10"/>
    <tableColumn id="11" uniqueName="11" name="SNP-2 Pcs/Carton" queryTableFieldId="11"/>
    <tableColumn id="12" uniqueName="12" name="un_SNP2" queryTableFieldId="12"/>
    <tableColumn id="13" uniqueName="13" name="SNP-3 Pcs/Sub-Carton" queryTableFieldId="13"/>
    <tableColumn id="14" uniqueName="14" name="un_SNP3" queryTableFieldId="14"/>
    <tableColumn id="15" uniqueName="15" name="SNP for Issuing Q'ty" queryTableFieldId="15"/>
    <tableColumn id="16" uniqueName="16" name="PDO = 3668" queryTableFieldId="16"/>
    <tableColumn id="17" uniqueName="17" name="F17" queryTableField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P41"/>
  <sheetViews>
    <sheetView tabSelected="1" zoomScale="110" zoomScaleNormal="110" workbookViewId="0">
      <selection activeCell="E15" sqref="E15"/>
    </sheetView>
  </sheetViews>
  <sheetFormatPr defaultRowHeight="15"/>
  <cols>
    <col min="1" max="3" width="1.5703125" customWidth="1"/>
    <col min="4" max="4" width="37.140625" style="26" customWidth="1"/>
    <col min="5" max="5" width="104.5703125" style="26" customWidth="1"/>
    <col min="6" max="6" width="5.140625" style="26" customWidth="1"/>
    <col min="7" max="7" width="14.5703125" style="26" customWidth="1"/>
    <col min="8" max="8" width="16.28515625" style="26" customWidth="1"/>
    <col min="9" max="9" width="10.140625" style="26" customWidth="1"/>
    <col min="10" max="10" width="9.140625" style="26"/>
  </cols>
  <sheetData>
    <row r="1" spans="1:16">
      <c r="A1" s="1"/>
      <c r="B1" s="1"/>
      <c r="C1" s="1"/>
      <c r="D1" s="22"/>
      <c r="E1" s="22"/>
      <c r="F1" s="22"/>
      <c r="G1" s="22"/>
      <c r="H1" s="22"/>
      <c r="I1" s="22"/>
      <c r="J1" s="22"/>
      <c r="K1" s="1"/>
      <c r="L1" s="1"/>
      <c r="M1" s="1"/>
      <c r="N1" s="1"/>
      <c r="O1" s="1"/>
      <c r="P1" s="1"/>
    </row>
    <row r="2" spans="1:16">
      <c r="A2" s="1"/>
      <c r="B2" s="1"/>
      <c r="C2" s="1"/>
      <c r="D2" s="22"/>
      <c r="E2" s="22"/>
      <c r="F2" s="22"/>
      <c r="G2" s="22"/>
      <c r="H2" s="22"/>
      <c r="I2" s="22"/>
      <c r="J2" s="22"/>
      <c r="K2" s="1"/>
      <c r="L2" s="1"/>
      <c r="M2" s="1"/>
      <c r="N2" s="1"/>
      <c r="O2" s="1"/>
      <c r="P2" s="1"/>
    </row>
    <row r="3" spans="1:16">
      <c r="A3" s="1"/>
      <c r="B3" s="1"/>
      <c r="C3" s="1"/>
      <c r="D3" s="22"/>
      <c r="E3" s="22"/>
      <c r="F3" s="22"/>
      <c r="G3" s="22"/>
      <c r="H3" s="22"/>
      <c r="I3" s="22"/>
      <c r="J3" s="22"/>
      <c r="K3" s="1"/>
      <c r="L3" s="1"/>
      <c r="M3" s="1"/>
      <c r="N3" s="1"/>
      <c r="O3" s="1"/>
      <c r="P3" s="1"/>
    </row>
    <row r="4" spans="1:16">
      <c r="A4" s="1"/>
      <c r="B4" s="1"/>
      <c r="C4" s="1"/>
      <c r="D4" s="22"/>
      <c r="E4" s="22"/>
      <c r="F4" s="22"/>
      <c r="G4" s="22"/>
      <c r="H4" s="22"/>
      <c r="I4" s="22"/>
      <c r="J4" s="22"/>
      <c r="K4" s="1"/>
      <c r="L4" s="1"/>
      <c r="M4" s="1"/>
      <c r="N4" s="1"/>
      <c r="O4" s="1"/>
      <c r="P4" s="1"/>
    </row>
    <row r="5" spans="1:16">
      <c r="A5" s="1"/>
      <c r="B5" s="1"/>
      <c r="C5" s="1"/>
      <c r="D5" s="22"/>
      <c r="E5" s="22"/>
      <c r="F5" s="22"/>
      <c r="G5" s="22"/>
      <c r="H5" s="22"/>
      <c r="I5" s="22"/>
      <c r="J5" s="22"/>
      <c r="K5" s="1"/>
      <c r="L5" s="1"/>
      <c r="M5" s="1"/>
      <c r="N5" s="1"/>
      <c r="O5" s="1"/>
      <c r="P5" s="1"/>
    </row>
    <row r="6" spans="1:16">
      <c r="A6" s="1"/>
      <c r="B6" s="1"/>
      <c r="C6" s="1"/>
      <c r="D6" s="22"/>
      <c r="E6" s="22"/>
      <c r="F6" s="22"/>
      <c r="G6" s="22"/>
      <c r="H6" s="22"/>
      <c r="I6" s="22"/>
      <c r="J6" s="22"/>
      <c r="K6" s="1"/>
      <c r="L6" s="1"/>
      <c r="M6" s="1"/>
      <c r="N6" s="1"/>
      <c r="O6" s="1"/>
      <c r="P6" s="1"/>
    </row>
    <row r="7" spans="1:16" ht="13.5" customHeight="1">
      <c r="A7" s="1"/>
      <c r="B7" s="1"/>
      <c r="C7" s="1"/>
      <c r="D7" s="22"/>
      <c r="E7" s="22"/>
      <c r="F7" s="22"/>
      <c r="G7" s="22"/>
      <c r="H7" s="22"/>
      <c r="I7" s="23">
        <f>LEN(E9)</f>
        <v>0</v>
      </c>
      <c r="J7" s="22"/>
      <c r="K7" s="1"/>
      <c r="L7" s="1"/>
      <c r="M7" s="1"/>
      <c r="N7" s="1"/>
      <c r="O7" s="1"/>
      <c r="P7" s="1"/>
    </row>
    <row r="8" spans="1:16" ht="14.25" customHeight="1">
      <c r="A8" s="1"/>
      <c r="B8" s="1"/>
      <c r="C8" s="1"/>
      <c r="D8" s="22"/>
      <c r="E8" s="22"/>
      <c r="F8" s="24"/>
      <c r="G8" s="24"/>
      <c r="H8" s="24"/>
      <c r="I8" s="24" t="s">
        <v>417</v>
      </c>
      <c r="J8" s="22"/>
      <c r="K8" s="1"/>
      <c r="L8" s="1"/>
      <c r="M8" s="1"/>
      <c r="N8" s="1"/>
      <c r="O8" s="1"/>
      <c r="P8" s="1"/>
    </row>
    <row r="9" spans="1:16" ht="51.75" customHeight="1">
      <c r="A9" s="1"/>
      <c r="B9" s="1"/>
      <c r="C9" s="1"/>
      <c r="D9" s="3" t="s">
        <v>506</v>
      </c>
      <c r="E9" s="41"/>
      <c r="F9" s="24">
        <f>IF(E9="",0,1)</f>
        <v>0</v>
      </c>
      <c r="G9" s="24"/>
      <c r="H9" s="24"/>
      <c r="I9" s="25" t="str">
        <f>IF(I7=23,"'"&amp;MID(E9,22,1)&amp;"/"&amp;RIGHT(E9,1),IF(I7=24,"'"&amp;MID(E9,22,1)&amp;"/"&amp;RIGHT(E9,2),IF(I7=25,"'"&amp;MID(E9,22,2)&amp;"/"&amp;RIGHT(E9,2),IF(I7=18,"'"&amp;MID(E9,17,1)&amp;"/"&amp;RIGHT(E9,1),IF(I7=19,"'"&amp;MID(E9,17,1)&amp;"/"&amp;RIGHT(E9,2),IF(I7=20,"'"&amp;MID(E9,17,2)&amp;"/"&amp;RIGHT(E9,2),""))))))</f>
        <v/>
      </c>
      <c r="J9" s="22"/>
      <c r="K9" s="1"/>
      <c r="L9" s="1"/>
      <c r="M9" s="1"/>
      <c r="N9" s="1"/>
      <c r="O9" s="1"/>
      <c r="P9" s="1"/>
    </row>
    <row r="10" spans="1:16" ht="51.75" customHeight="1">
      <c r="A10" s="1"/>
      <c r="B10" s="1"/>
      <c r="C10" s="1"/>
      <c r="D10" s="27" t="s">
        <v>507</v>
      </c>
      <c r="E10" s="28"/>
      <c r="F10" s="24">
        <f>IF(E10="",0,1)</f>
        <v>0</v>
      </c>
      <c r="G10" s="22"/>
      <c r="H10" s="24">
        <f>COUNTA(Record!#REF!)</f>
        <v>1</v>
      </c>
      <c r="I10" s="22"/>
      <c r="J10" s="22"/>
      <c r="K10" s="1"/>
      <c r="L10" s="1"/>
      <c r="M10" s="1"/>
      <c r="N10" s="1"/>
      <c r="O10" s="1"/>
      <c r="P10" s="1"/>
    </row>
    <row r="11" spans="1:16" ht="51.75" customHeight="1">
      <c r="A11" s="1"/>
      <c r="B11" s="1"/>
      <c r="C11" s="1"/>
      <c r="D11" s="29" t="s">
        <v>514</v>
      </c>
      <c r="E11" s="28"/>
      <c r="F11" s="24">
        <f>IF(E11="",0,1)</f>
        <v>0</v>
      </c>
      <c r="G11" s="22"/>
      <c r="H11" s="22"/>
      <c r="I11" s="22"/>
      <c r="J11" s="22"/>
      <c r="K11" s="1"/>
      <c r="L11" s="1"/>
      <c r="M11" s="1"/>
      <c r="N11" s="1"/>
      <c r="O11" s="1"/>
      <c r="P11" s="1"/>
    </row>
    <row r="12" spans="1:16">
      <c r="A12" s="1"/>
      <c r="B12" s="1"/>
      <c r="C12" s="1"/>
      <c r="D12" s="22"/>
      <c r="E12" s="22"/>
      <c r="F12" s="24">
        <f>IF(F22=0,0,SUM(F9:F11))</f>
        <v>0</v>
      </c>
      <c r="G12" s="22"/>
      <c r="H12" s="22"/>
      <c r="I12" s="22"/>
      <c r="J12" s="22"/>
      <c r="K12" s="1"/>
      <c r="L12" s="1"/>
      <c r="M12" s="1"/>
      <c r="N12" s="1"/>
      <c r="O12" s="1"/>
      <c r="P12" s="1"/>
    </row>
    <row r="13" spans="1:16">
      <c r="A13" s="1"/>
      <c r="B13" s="1"/>
      <c r="C13" s="1"/>
      <c r="D13" s="22"/>
      <c r="E13" s="22"/>
      <c r="F13" s="22"/>
      <c r="G13" s="22"/>
      <c r="H13" s="22"/>
      <c r="I13" s="22"/>
      <c r="J13" s="22"/>
      <c r="K13" s="1"/>
      <c r="L13" s="1"/>
      <c r="M13" s="1"/>
      <c r="N13" s="1"/>
      <c r="O13" s="1"/>
      <c r="P13" s="1"/>
    </row>
    <row r="14" spans="1:16">
      <c r="A14" s="1"/>
      <c r="B14" s="1"/>
      <c r="C14" s="1"/>
      <c r="D14" s="22"/>
      <c r="E14" s="22"/>
      <c r="F14" s="22"/>
      <c r="G14" s="22"/>
      <c r="H14" s="22"/>
      <c r="I14" s="22"/>
      <c r="J14" s="22"/>
      <c r="K14" s="1"/>
      <c r="L14" s="1"/>
      <c r="M14" s="1"/>
      <c r="N14" s="1"/>
      <c r="O14" s="1"/>
      <c r="P14" s="1"/>
    </row>
    <row r="15" spans="1:16">
      <c r="A15" s="1"/>
      <c r="B15" s="1"/>
      <c r="C15" s="1"/>
      <c r="D15" s="22"/>
      <c r="E15" s="22"/>
      <c r="F15" s="22"/>
      <c r="G15" s="22"/>
      <c r="H15" s="23" t="e">
        <f>'Route Ticket'!#REF!</f>
        <v>#REF!</v>
      </c>
      <c r="I15" s="22"/>
      <c r="J15" s="22"/>
      <c r="K15" s="1"/>
      <c r="L15" s="1"/>
      <c r="M15" s="1"/>
      <c r="N15" s="1"/>
      <c r="O15" s="1"/>
      <c r="P15" s="1"/>
    </row>
    <row r="16" spans="1:16">
      <c r="A16" s="1"/>
      <c r="B16" s="1"/>
      <c r="C16" s="1"/>
      <c r="D16" s="43"/>
      <c r="E16" s="43"/>
      <c r="F16" s="22"/>
      <c r="G16" s="22"/>
      <c r="H16" s="22"/>
      <c r="I16" s="22"/>
      <c r="J16" s="22"/>
      <c r="K16" s="1"/>
      <c r="L16" s="1"/>
      <c r="M16" s="1"/>
      <c r="N16" s="1"/>
      <c r="O16" s="1"/>
      <c r="P16" s="1"/>
    </row>
    <row r="17" spans="1:16">
      <c r="A17" s="1"/>
      <c r="B17" s="1"/>
      <c r="C17" s="1"/>
      <c r="D17" s="22"/>
      <c r="E17" s="22"/>
      <c r="F17" s="22"/>
      <c r="G17" s="22"/>
      <c r="H17" s="22"/>
      <c r="I17" s="22"/>
      <c r="J17" s="22"/>
      <c r="K17" s="1"/>
      <c r="L17" s="1"/>
      <c r="M17" s="1"/>
      <c r="N17" s="1"/>
      <c r="O17" s="1"/>
      <c r="P17" s="1"/>
    </row>
    <row r="18" spans="1:16">
      <c r="A18" s="1"/>
      <c r="B18" s="1"/>
      <c r="C18" s="1"/>
      <c r="D18" s="22"/>
      <c r="E18" s="22"/>
      <c r="F18" s="22"/>
      <c r="G18" s="22"/>
      <c r="H18" s="22"/>
      <c r="I18" s="22"/>
      <c r="J18" s="22"/>
      <c r="K18" s="1"/>
      <c r="L18" s="1"/>
      <c r="M18" s="1"/>
      <c r="N18" s="1"/>
      <c r="O18" s="1"/>
      <c r="P18" s="1"/>
    </row>
    <row r="19" spans="1:16">
      <c r="A19" s="1"/>
      <c r="B19" s="1"/>
      <c r="C19" s="1"/>
      <c r="D19" s="22"/>
      <c r="E19" s="22"/>
      <c r="F19" s="22"/>
      <c r="G19" s="22"/>
      <c r="H19" s="22"/>
      <c r="I19" s="22"/>
      <c r="J19" s="22"/>
      <c r="K19" s="1"/>
      <c r="L19" s="1"/>
      <c r="M19" s="1"/>
      <c r="N19" s="1"/>
      <c r="O19" s="1"/>
      <c r="P19" s="1"/>
    </row>
    <row r="20" spans="1:16">
      <c r="A20" s="1"/>
      <c r="B20" s="1"/>
      <c r="C20" s="1"/>
      <c r="D20" s="22"/>
      <c r="E20" s="22"/>
      <c r="F20" s="22"/>
      <c r="G20" s="22"/>
      <c r="H20" s="22"/>
      <c r="I20" s="22"/>
      <c r="J20" s="22"/>
      <c r="K20" s="1"/>
      <c r="L20" s="1"/>
      <c r="M20" s="1"/>
      <c r="N20" s="1"/>
      <c r="O20" s="1"/>
      <c r="P20" s="1"/>
    </row>
    <row r="21" spans="1:16">
      <c r="A21" s="1"/>
      <c r="B21" s="1"/>
      <c r="C21" s="1"/>
      <c r="D21" s="22"/>
      <c r="E21" s="22"/>
      <c r="F21" s="22"/>
      <c r="G21" s="22"/>
      <c r="H21" s="22"/>
      <c r="I21" s="22"/>
      <c r="J21" s="22"/>
      <c r="K21" s="1"/>
      <c r="L21" s="1"/>
      <c r="M21" s="1"/>
      <c r="N21" s="1"/>
      <c r="O21" s="1"/>
      <c r="P21" s="1"/>
    </row>
    <row r="22" spans="1:16">
      <c r="A22" s="1"/>
      <c r="B22" s="1"/>
      <c r="C22" s="1"/>
      <c r="D22" s="22"/>
      <c r="E22" s="23">
        <f>IFERROR(VLOOKUP(E9,'Stock In'!B:B,1,0),0)</f>
        <v>0</v>
      </c>
      <c r="F22" s="22">
        <f>IF(E22=E9,0,1)</f>
        <v>0</v>
      </c>
      <c r="G22" s="22"/>
      <c r="H22" s="22"/>
      <c r="I22" s="22"/>
      <c r="J22" s="22"/>
      <c r="K22" s="1"/>
      <c r="L22" s="1"/>
      <c r="M22" s="1"/>
      <c r="N22" s="1"/>
      <c r="O22" s="1"/>
      <c r="P22" s="1"/>
    </row>
    <row r="23" spans="1:16">
      <c r="A23" s="1"/>
      <c r="B23" s="1"/>
      <c r="C23" s="1"/>
      <c r="D23" s="22"/>
      <c r="E23" s="22"/>
      <c r="F23" s="22"/>
      <c r="G23" s="22"/>
      <c r="H23" s="22"/>
      <c r="I23" s="22"/>
      <c r="J23" s="22"/>
      <c r="K23" s="1"/>
      <c r="L23" s="1"/>
      <c r="M23" s="1"/>
      <c r="N23" s="1"/>
      <c r="O23" s="1"/>
      <c r="P23" s="1"/>
    </row>
    <row r="24" spans="1:16">
      <c r="A24" s="1"/>
      <c r="B24" s="1"/>
      <c r="C24" s="1"/>
      <c r="D24" s="22"/>
      <c r="E24" s="22"/>
      <c r="F24" s="22"/>
      <c r="G24" s="22"/>
      <c r="H24" s="22"/>
      <c r="I24" s="22"/>
      <c r="J24" s="22"/>
      <c r="K24" s="1"/>
      <c r="L24" s="1"/>
      <c r="M24" s="1"/>
      <c r="N24" s="1"/>
      <c r="O24" s="1"/>
      <c r="P24" s="1"/>
    </row>
    <row r="25" spans="1:16">
      <c r="A25" s="1"/>
      <c r="B25" s="1"/>
      <c r="C25" s="1"/>
      <c r="D25" s="22"/>
      <c r="E25" s="22"/>
      <c r="F25" s="22"/>
      <c r="G25" s="22"/>
      <c r="H25" s="22"/>
      <c r="I25" s="22"/>
      <c r="J25" s="22"/>
      <c r="K25" s="1"/>
      <c r="L25" s="1"/>
      <c r="M25" s="1"/>
      <c r="N25" s="1"/>
      <c r="O25" s="1"/>
      <c r="P25" s="1"/>
    </row>
    <row r="26" spans="1:16">
      <c r="A26" s="1"/>
      <c r="B26" s="1"/>
      <c r="C26" s="1"/>
      <c r="D26" s="22"/>
      <c r="E26" s="22"/>
      <c r="F26" s="22"/>
      <c r="G26" s="22"/>
      <c r="H26" s="22"/>
      <c r="I26" s="22"/>
      <c r="J26" s="22"/>
      <c r="K26" s="1"/>
      <c r="L26" s="1"/>
      <c r="M26" s="1"/>
      <c r="N26" s="1"/>
      <c r="O26" s="1"/>
      <c r="P26" s="1"/>
    </row>
    <row r="27" spans="1:16">
      <c r="A27" s="1"/>
      <c r="B27" s="1"/>
      <c r="C27" s="1"/>
      <c r="D27" s="22"/>
      <c r="E27" s="22"/>
      <c r="F27" s="22"/>
      <c r="G27" s="22"/>
      <c r="H27" s="22"/>
      <c r="I27" s="22"/>
      <c r="J27" s="22"/>
      <c r="K27" s="1"/>
      <c r="L27" s="1"/>
      <c r="M27" s="1"/>
      <c r="N27" s="1"/>
      <c r="O27" s="1"/>
      <c r="P27" s="1"/>
    </row>
    <row r="28" spans="1:16">
      <c r="A28" s="1"/>
      <c r="B28" s="1"/>
      <c r="C28" s="1"/>
      <c r="D28" s="22"/>
      <c r="E28" s="22"/>
      <c r="F28" s="22"/>
      <c r="G28" s="22"/>
      <c r="H28" s="22"/>
      <c r="I28" s="22"/>
      <c r="J28" s="22"/>
      <c r="K28" s="1"/>
      <c r="L28" s="1"/>
      <c r="M28" s="1"/>
      <c r="N28" s="1"/>
      <c r="O28" s="1"/>
      <c r="P28" s="1"/>
    </row>
    <row r="29" spans="1:16">
      <c r="A29" s="1"/>
      <c r="B29" s="1"/>
      <c r="C29" s="1"/>
      <c r="D29" s="22"/>
      <c r="E29" s="22"/>
      <c r="F29" s="22"/>
      <c r="G29" s="22"/>
      <c r="H29" s="22"/>
      <c r="I29" s="22"/>
      <c r="J29" s="22"/>
      <c r="K29" s="1"/>
      <c r="L29" s="1"/>
      <c r="M29" s="1"/>
      <c r="N29" s="1"/>
      <c r="O29" s="1"/>
      <c r="P29" s="1"/>
    </row>
    <row r="30" spans="1:16">
      <c r="A30" s="1"/>
      <c r="B30" s="1"/>
      <c r="C30" s="1"/>
      <c r="D30" s="22"/>
      <c r="E30" s="22"/>
      <c r="F30" s="22"/>
      <c r="G30" s="22"/>
      <c r="H30" s="22"/>
      <c r="I30" s="22"/>
      <c r="J30" s="22"/>
      <c r="K30" s="1"/>
      <c r="L30" s="1"/>
      <c r="M30" s="1"/>
      <c r="N30" s="1"/>
      <c r="O30" s="1"/>
      <c r="P30" s="1"/>
    </row>
    <row r="31" spans="1:16">
      <c r="A31" s="1"/>
      <c r="B31" s="1"/>
      <c r="C31" s="1"/>
      <c r="D31" s="22"/>
      <c r="E31" s="22"/>
      <c r="F31" s="22"/>
      <c r="G31" s="22"/>
      <c r="H31" s="22"/>
      <c r="I31" s="22"/>
      <c r="J31" s="22"/>
      <c r="K31" s="1"/>
      <c r="L31" s="1"/>
      <c r="M31" s="1"/>
      <c r="N31" s="1"/>
      <c r="O31" s="1"/>
      <c r="P31" s="1"/>
    </row>
    <row r="32" spans="1:16">
      <c r="A32" s="1"/>
      <c r="B32" s="1"/>
      <c r="C32" s="1"/>
      <c r="D32" s="22"/>
      <c r="E32" s="22"/>
      <c r="F32" s="22"/>
      <c r="G32" s="22"/>
      <c r="H32" s="22"/>
      <c r="I32" s="22"/>
      <c r="J32" s="22"/>
      <c r="K32" s="1"/>
      <c r="L32" s="1"/>
      <c r="M32" s="1"/>
      <c r="N32" s="1"/>
      <c r="O32" s="1"/>
      <c r="P32" s="1"/>
    </row>
    <row r="33" spans="1:16">
      <c r="A33" s="1"/>
      <c r="B33" s="1"/>
      <c r="C33" s="1"/>
      <c r="D33" s="22"/>
      <c r="E33" s="22"/>
      <c r="F33" s="22"/>
      <c r="G33" s="22"/>
      <c r="H33" s="22"/>
      <c r="I33" s="22"/>
      <c r="J33" s="22"/>
      <c r="K33" s="1"/>
      <c r="L33" s="1"/>
      <c r="M33" s="1"/>
      <c r="N33" s="1"/>
      <c r="O33" s="1"/>
      <c r="P33" s="1"/>
    </row>
    <row r="34" spans="1:16">
      <c r="A34" s="1"/>
      <c r="B34" s="1"/>
      <c r="C34" s="1"/>
      <c r="D34" s="22"/>
      <c r="E34" s="22"/>
      <c r="F34" s="22"/>
      <c r="G34" s="22"/>
      <c r="H34" s="22"/>
      <c r="I34" s="22"/>
      <c r="J34" s="22"/>
      <c r="K34" s="1"/>
      <c r="L34" s="1"/>
      <c r="M34" s="1"/>
      <c r="N34" s="1"/>
      <c r="O34" s="1"/>
      <c r="P34" s="1"/>
    </row>
    <row r="35" spans="1:16">
      <c r="A35" s="1"/>
      <c r="B35" s="1"/>
      <c r="C35" s="1"/>
      <c r="D35" s="22"/>
      <c r="E35" s="22"/>
      <c r="F35" s="22"/>
      <c r="G35" s="22"/>
      <c r="H35" s="22"/>
      <c r="I35" s="22"/>
      <c r="J35" s="22"/>
      <c r="K35" s="1"/>
      <c r="L35" s="1"/>
      <c r="M35" s="1"/>
      <c r="N35" s="1"/>
      <c r="O35" s="1"/>
      <c r="P35" s="1"/>
    </row>
    <row r="36" spans="1:16">
      <c r="A36" s="1"/>
      <c r="B36" s="1"/>
      <c r="C36" s="1"/>
      <c r="D36" s="22"/>
      <c r="E36" s="22"/>
      <c r="F36" s="22"/>
      <c r="G36" s="22"/>
      <c r="H36" s="22"/>
      <c r="I36" s="22"/>
      <c r="J36" s="22"/>
      <c r="K36" s="1"/>
      <c r="L36" s="1"/>
      <c r="M36" s="1"/>
      <c r="N36" s="1"/>
      <c r="O36" s="1"/>
      <c r="P36" s="1"/>
    </row>
    <row r="37" spans="1:16">
      <c r="A37" s="1"/>
      <c r="B37" s="1"/>
      <c r="C37" s="1"/>
      <c r="D37" s="22"/>
      <c r="E37" s="22"/>
      <c r="F37" s="22"/>
      <c r="G37" s="22"/>
      <c r="H37" s="22"/>
      <c r="I37" s="22"/>
      <c r="J37" s="22"/>
      <c r="K37" s="1"/>
      <c r="L37" s="1"/>
      <c r="M37" s="1"/>
      <c r="N37" s="1"/>
      <c r="O37" s="1"/>
      <c r="P37" s="1"/>
    </row>
    <row r="38" spans="1:16">
      <c r="A38" s="1"/>
      <c r="B38" s="1"/>
      <c r="C38" s="1"/>
      <c r="D38" s="22"/>
      <c r="E38" s="22"/>
      <c r="F38" s="22"/>
      <c r="G38" s="22"/>
      <c r="H38" s="22"/>
      <c r="I38" s="22"/>
      <c r="J38" s="22"/>
      <c r="K38" s="1"/>
      <c r="L38" s="1"/>
      <c r="M38" s="1"/>
      <c r="N38" s="1"/>
      <c r="O38" s="1"/>
      <c r="P38" s="1"/>
    </row>
    <row r="39" spans="1:16">
      <c r="A39" s="1"/>
      <c r="B39" s="1"/>
      <c r="C39" s="1"/>
      <c r="D39" s="22"/>
      <c r="E39" s="22"/>
      <c r="F39" s="22"/>
      <c r="G39" s="22"/>
      <c r="H39" s="22"/>
      <c r="I39" s="22"/>
      <c r="J39" s="22"/>
      <c r="K39" s="1"/>
      <c r="L39" s="1"/>
      <c r="M39" s="1"/>
      <c r="N39" s="1"/>
      <c r="O39" s="1"/>
      <c r="P39" s="1"/>
    </row>
    <row r="40" spans="1:16">
      <c r="A40" s="1"/>
      <c r="B40" s="1"/>
      <c r="C40" s="1"/>
      <c r="D40" s="22"/>
      <c r="E40" s="22"/>
      <c r="F40" s="22"/>
      <c r="G40" s="22"/>
      <c r="H40" s="22"/>
      <c r="I40" s="22"/>
      <c r="J40" s="22"/>
      <c r="K40" s="1"/>
      <c r="L40" s="1"/>
      <c r="M40" s="1"/>
      <c r="N40" s="1"/>
      <c r="O40" s="1"/>
      <c r="P40" s="1"/>
    </row>
    <row r="41" spans="1:16">
      <c r="A41" s="1"/>
      <c r="B41" s="1"/>
      <c r="C41" s="1"/>
      <c r="D41" s="22"/>
      <c r="E41" s="22"/>
      <c r="F41" s="22"/>
      <c r="G41" s="22"/>
      <c r="H41" s="22"/>
      <c r="I41" s="22"/>
      <c r="J41" s="22"/>
      <c r="K41" s="1"/>
      <c r="L41" s="1"/>
      <c r="M41" s="1"/>
      <c r="N41" s="1"/>
      <c r="O41" s="1"/>
      <c r="P41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1819275</xdr:colOff>
                <xdr:row>13</xdr:row>
                <xdr:rowOff>123825</xdr:rowOff>
              </from>
              <to>
                <xdr:col>4</xdr:col>
                <xdr:colOff>4457700</xdr:colOff>
                <xdr:row>18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4</xdr:col>
                <xdr:colOff>5495925</xdr:colOff>
                <xdr:row>19</xdr:row>
                <xdr:rowOff>85725</xdr:rowOff>
              </from>
              <to>
                <xdr:col>4</xdr:col>
                <xdr:colOff>6724650</xdr:colOff>
                <xdr:row>21</xdr:row>
                <xdr:rowOff>76200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9</xdr:col>
                <xdr:colOff>504825</xdr:colOff>
                <xdr:row>3</xdr:row>
                <xdr:rowOff>47625</xdr:rowOff>
              </from>
              <to>
                <xdr:col>11</xdr:col>
                <xdr:colOff>95250</xdr:colOff>
                <xdr:row>5</xdr:row>
                <xdr:rowOff>28575</xdr:rowOff>
              </to>
            </anchor>
          </controlPr>
        </control>
      </mc:Choice>
      <mc:Fallback>
        <control shapeId="1027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40"/>
  <sheetViews>
    <sheetView showGridLines="0" view="pageBreakPreview" zoomScale="40" zoomScaleNormal="70" zoomScaleSheetLayoutView="40" workbookViewId="0">
      <selection activeCell="AH156" sqref="AH156"/>
    </sheetView>
  </sheetViews>
  <sheetFormatPr defaultRowHeight="12.75"/>
  <cols>
    <col min="1" max="1" width="1.140625" style="13" customWidth="1"/>
    <col min="2" max="2" width="53" style="13" customWidth="1"/>
    <col min="3" max="4" width="40.7109375" style="13" customWidth="1"/>
    <col min="5" max="5" width="33.140625" style="15" customWidth="1"/>
    <col min="6" max="6" width="7" style="16" customWidth="1"/>
    <col min="7" max="7" width="13.140625" style="14" customWidth="1"/>
    <col min="8" max="8" width="3.42578125" style="13" customWidth="1"/>
    <col min="9" max="9" width="10.85546875" style="13" customWidth="1"/>
    <col min="10" max="10" width="3" style="13" bestFit="1" customWidth="1"/>
    <col min="11" max="13" width="4" style="13" bestFit="1" customWidth="1"/>
    <col min="14" max="14" width="4" style="18" bestFit="1" customWidth="1"/>
    <col min="15" max="15" width="4.5703125" style="18" customWidth="1"/>
    <col min="16" max="18" width="9.140625" style="18"/>
    <col min="19" max="16384" width="9.140625" style="13"/>
  </cols>
  <sheetData>
    <row r="1" spans="1:21" ht="9" customHeight="1">
      <c r="A1" s="62"/>
      <c r="B1" s="63"/>
      <c r="C1" s="63"/>
      <c r="D1" s="63"/>
      <c r="E1" s="64"/>
      <c r="F1" s="65"/>
      <c r="G1" s="66"/>
      <c r="H1" s="63"/>
      <c r="I1" s="63"/>
      <c r="J1" s="63"/>
      <c r="K1" s="63"/>
      <c r="L1" s="67"/>
      <c r="M1" s="67"/>
      <c r="N1" s="67"/>
      <c r="O1" s="63"/>
      <c r="P1" s="63"/>
      <c r="Q1" s="63"/>
      <c r="R1" s="63"/>
      <c r="S1" s="63"/>
      <c r="T1" s="63"/>
      <c r="U1" s="68"/>
    </row>
    <row r="2" spans="1:21">
      <c r="A2" s="69"/>
      <c r="B2" s="53"/>
      <c r="C2" s="53"/>
      <c r="D2" s="18"/>
      <c r="E2" s="55"/>
      <c r="F2" s="56"/>
      <c r="G2" s="17"/>
      <c r="H2" s="53"/>
      <c r="I2" s="18"/>
      <c r="J2" s="18"/>
      <c r="K2" s="18"/>
      <c r="L2" s="47"/>
      <c r="M2" s="47"/>
      <c r="N2" s="47"/>
      <c r="S2" s="18"/>
      <c r="T2" s="18"/>
      <c r="U2" s="70"/>
    </row>
    <row r="3" spans="1:21" ht="48" customHeight="1">
      <c r="A3" s="69"/>
      <c r="B3" s="18"/>
      <c r="C3" s="18"/>
      <c r="D3" s="18"/>
      <c r="E3" s="36"/>
      <c r="F3" s="45"/>
      <c r="G3" s="46"/>
      <c r="H3" s="57"/>
      <c r="I3" s="18"/>
      <c r="J3" s="18"/>
      <c r="K3" s="18"/>
      <c r="L3" s="47"/>
      <c r="M3" s="47"/>
      <c r="N3" s="47"/>
      <c r="Q3" s="51"/>
      <c r="S3" s="52">
        <v>1</v>
      </c>
      <c r="T3" s="80" t="s">
        <v>2147</v>
      </c>
      <c r="U3" s="97">
        <v>15</v>
      </c>
    </row>
    <row r="4" spans="1:21" ht="43.5" customHeight="1">
      <c r="A4" s="69"/>
      <c r="B4" s="34"/>
      <c r="C4" s="34"/>
      <c r="D4" s="34"/>
      <c r="E4" s="34"/>
      <c r="F4" s="34"/>
      <c r="G4" s="34"/>
      <c r="H4" s="53"/>
      <c r="I4" s="18"/>
      <c r="J4" s="18"/>
      <c r="K4" s="18"/>
      <c r="L4" s="47"/>
      <c r="M4" s="47"/>
      <c r="N4" s="47"/>
      <c r="P4" s="48"/>
      <c r="S4" s="18"/>
      <c r="T4" s="18"/>
      <c r="U4" s="70"/>
    </row>
    <row r="5" spans="1:21" ht="11.25" customHeight="1">
      <c r="A5" s="69"/>
      <c r="B5" s="32"/>
      <c r="C5" s="32"/>
      <c r="D5" s="33"/>
      <c r="E5" s="33"/>
      <c r="F5" s="33"/>
      <c r="G5" s="33"/>
      <c r="H5" s="53"/>
      <c r="I5" s="18"/>
      <c r="J5" s="18"/>
      <c r="K5" s="18"/>
      <c r="L5" s="47"/>
      <c r="M5" s="47"/>
      <c r="N5" s="47"/>
      <c r="S5" s="18"/>
      <c r="T5" s="18"/>
      <c r="U5" s="70"/>
    </row>
    <row r="6" spans="1:21" ht="87.75" customHeight="1">
      <c r="A6" s="69"/>
      <c r="B6" s="58" t="s">
        <v>2145</v>
      </c>
      <c r="C6" s="18"/>
      <c r="D6" s="35"/>
      <c r="E6" s="35"/>
      <c r="F6" s="35"/>
      <c r="G6" s="35"/>
      <c r="H6" s="59"/>
      <c r="I6" s="18"/>
      <c r="J6" s="18"/>
      <c r="K6" s="18"/>
      <c r="L6" s="47"/>
      <c r="M6" s="47"/>
      <c r="N6" s="47"/>
      <c r="S6" s="18"/>
      <c r="T6" s="18"/>
      <c r="U6" s="70"/>
    </row>
    <row r="7" spans="1:21" s="19" customFormat="1" ht="250.5" customHeight="1">
      <c r="A7" s="71"/>
      <c r="B7" s="61" t="s">
        <v>584</v>
      </c>
      <c r="C7" s="49"/>
      <c r="D7" s="60"/>
      <c r="E7" s="60"/>
      <c r="F7" s="60"/>
      <c r="G7" s="60"/>
      <c r="H7" s="54"/>
      <c r="I7" s="49"/>
      <c r="J7" s="49"/>
      <c r="K7" s="49"/>
      <c r="L7" s="52"/>
      <c r="M7" s="52"/>
      <c r="N7" s="52"/>
      <c r="O7" s="49"/>
      <c r="P7" s="49"/>
      <c r="Q7" s="51"/>
      <c r="R7" s="49"/>
      <c r="S7" s="49"/>
      <c r="T7" s="49"/>
      <c r="U7" s="72"/>
    </row>
    <row r="8" spans="1:21" ht="139.5" customHeight="1">
      <c r="A8" s="69"/>
      <c r="B8" s="82" t="s">
        <v>2453</v>
      </c>
      <c r="C8" s="94" t="s">
        <v>2153</v>
      </c>
      <c r="D8" s="95"/>
      <c r="E8" s="95"/>
      <c r="F8" s="95"/>
      <c r="G8" s="95"/>
      <c r="H8" s="83"/>
      <c r="I8" s="84"/>
      <c r="J8" s="84"/>
      <c r="K8" s="84"/>
      <c r="L8" s="84"/>
      <c r="M8" s="84"/>
      <c r="N8" s="84"/>
      <c r="O8" s="84"/>
      <c r="P8" s="85"/>
      <c r="Q8" s="84"/>
      <c r="R8" s="84"/>
      <c r="S8" s="84"/>
      <c r="T8" s="84"/>
      <c r="U8" s="86"/>
    </row>
    <row r="9" spans="1:21" ht="163.5" customHeight="1">
      <c r="A9" s="69"/>
      <c r="B9" s="82" t="s">
        <v>2402</v>
      </c>
      <c r="C9" s="92">
        <v>44287</v>
      </c>
      <c r="D9" s="93"/>
      <c r="E9" s="93"/>
      <c r="F9" s="93"/>
      <c r="G9" s="93"/>
      <c r="H9" s="87"/>
      <c r="I9" s="84"/>
      <c r="J9" s="84"/>
      <c r="K9" s="84"/>
      <c r="L9" s="84"/>
      <c r="M9" s="84"/>
      <c r="N9" s="84"/>
      <c r="O9" s="84"/>
      <c r="P9" s="84"/>
      <c r="Q9" s="88"/>
      <c r="R9" s="84"/>
      <c r="S9" s="84"/>
      <c r="T9" s="84"/>
      <c r="U9" s="86"/>
    </row>
    <row r="10" spans="1:21" ht="117.75" customHeight="1">
      <c r="A10" s="69"/>
      <c r="B10" s="82" t="s">
        <v>498</v>
      </c>
      <c r="C10" s="96" t="s">
        <v>585</v>
      </c>
      <c r="D10" s="31"/>
      <c r="E10" s="31"/>
      <c r="F10" s="31"/>
      <c r="G10" s="31"/>
      <c r="H10" s="89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6"/>
    </row>
    <row r="11" spans="1:21" ht="201.75" customHeight="1">
      <c r="A11" s="69"/>
      <c r="B11" s="82" t="s">
        <v>499</v>
      </c>
      <c r="C11" s="90">
        <v>500</v>
      </c>
      <c r="D11" s="91"/>
      <c r="E11" s="91"/>
      <c r="F11" s="91"/>
      <c r="G11" s="91"/>
      <c r="H11" s="89"/>
      <c r="I11" s="84"/>
      <c r="J11" s="84"/>
      <c r="K11" s="84"/>
      <c r="L11" s="84"/>
      <c r="M11" s="84"/>
      <c r="N11" s="84"/>
      <c r="O11" s="84"/>
      <c r="P11" s="85"/>
      <c r="Q11" s="84"/>
      <c r="R11" s="84"/>
      <c r="S11" s="84"/>
      <c r="T11" s="84"/>
      <c r="U11" s="86"/>
    </row>
    <row r="12" spans="1:21" ht="35.25">
      <c r="A12" s="73"/>
      <c r="B12" s="18"/>
      <c r="C12" s="18"/>
      <c r="D12" s="37" t="s">
        <v>2148</v>
      </c>
      <c r="E12" s="55"/>
      <c r="F12" s="56"/>
      <c r="G12" s="17"/>
      <c r="H12" s="18"/>
      <c r="I12" s="18"/>
      <c r="J12" s="18"/>
      <c r="K12" s="18"/>
      <c r="L12" s="47"/>
      <c r="M12" s="47"/>
      <c r="N12" s="47"/>
      <c r="S12" s="18"/>
      <c r="T12" s="18"/>
      <c r="U12" s="70"/>
    </row>
    <row r="13" spans="1:21" ht="9" customHeight="1">
      <c r="A13" s="73"/>
      <c r="B13" s="18"/>
      <c r="C13" s="18"/>
      <c r="D13" s="18"/>
      <c r="E13" s="55"/>
      <c r="F13" s="56"/>
      <c r="G13" s="17"/>
      <c r="H13" s="18"/>
      <c r="I13" s="18"/>
      <c r="J13" s="18"/>
      <c r="K13" s="18"/>
      <c r="L13" s="47"/>
      <c r="M13" s="47"/>
      <c r="N13" s="47"/>
      <c r="S13" s="18"/>
      <c r="T13" s="18"/>
      <c r="U13" s="70"/>
    </row>
    <row r="14" spans="1:21" s="18" customFormat="1">
      <c r="A14" s="73"/>
      <c r="E14" s="55"/>
      <c r="F14" s="56"/>
      <c r="G14" s="17"/>
      <c r="U14" s="70"/>
    </row>
    <row r="15" spans="1:21" ht="9" customHeight="1" thickBot="1">
      <c r="A15" s="74"/>
      <c r="B15" s="75"/>
      <c r="C15" s="75"/>
      <c r="D15" s="75"/>
      <c r="E15" s="76"/>
      <c r="F15" s="77"/>
      <c r="G15" s="78"/>
      <c r="H15" s="75"/>
      <c r="I15" s="75"/>
      <c r="J15" s="75"/>
      <c r="K15" s="75"/>
      <c r="L15" s="81"/>
      <c r="M15" s="81"/>
      <c r="N15" s="81"/>
      <c r="O15" s="75"/>
      <c r="P15" s="75"/>
      <c r="Q15" s="75"/>
      <c r="R15" s="75"/>
      <c r="S15" s="75"/>
      <c r="T15" s="75"/>
      <c r="U15" s="79"/>
    </row>
    <row r="16" spans="1:21" ht="9" customHeight="1">
      <c r="A16" s="62"/>
      <c r="B16" s="63"/>
      <c r="C16" s="63"/>
      <c r="D16" s="63"/>
      <c r="E16" s="64"/>
      <c r="F16" s="65"/>
      <c r="G16" s="66"/>
      <c r="H16" s="63"/>
      <c r="I16" s="63"/>
      <c r="J16" s="63"/>
      <c r="K16" s="63"/>
      <c r="L16" s="67"/>
      <c r="M16" s="67"/>
      <c r="N16" s="67"/>
      <c r="O16" s="63"/>
      <c r="P16" s="63"/>
      <c r="Q16" s="63"/>
      <c r="R16" s="63"/>
      <c r="S16" s="63"/>
      <c r="T16" s="63"/>
      <c r="U16" s="68"/>
    </row>
    <row r="17" spans="1:21">
      <c r="A17" s="69"/>
      <c r="B17" s="53"/>
      <c r="C17" s="53"/>
      <c r="D17" s="18"/>
      <c r="E17" s="55"/>
      <c r="F17" s="56"/>
      <c r="G17" s="17"/>
      <c r="H17" s="53"/>
      <c r="I17" s="18"/>
      <c r="J17" s="18"/>
      <c r="K17" s="18"/>
      <c r="L17" s="47"/>
      <c r="M17" s="47"/>
      <c r="N17" s="47"/>
      <c r="S17" s="18"/>
      <c r="T17" s="18"/>
      <c r="U17" s="70"/>
    </row>
    <row r="18" spans="1:21" ht="48" customHeight="1">
      <c r="A18" s="69"/>
      <c r="B18" s="18"/>
      <c r="C18" s="18"/>
      <c r="D18" s="18"/>
      <c r="E18" s="36"/>
      <c r="F18" s="45"/>
      <c r="G18" s="46"/>
      <c r="H18" s="57"/>
      <c r="I18" s="18"/>
      <c r="J18" s="18"/>
      <c r="K18" s="18"/>
      <c r="L18" s="47"/>
      <c r="M18" s="47"/>
      <c r="N18" s="47"/>
      <c r="Q18" s="51"/>
      <c r="S18" s="52">
        <v>2</v>
      </c>
      <c r="T18" s="80" t="s">
        <v>2147</v>
      </c>
      <c r="U18" s="97">
        <v>15</v>
      </c>
    </row>
    <row r="19" spans="1:21" ht="43.5" customHeight="1">
      <c r="A19" s="69"/>
      <c r="B19" s="34"/>
      <c r="C19" s="34"/>
      <c r="D19" s="34"/>
      <c r="E19" s="34"/>
      <c r="F19" s="34"/>
      <c r="G19" s="34"/>
      <c r="H19" s="53"/>
      <c r="I19" s="18"/>
      <c r="J19" s="18"/>
      <c r="K19" s="18"/>
      <c r="L19" s="47"/>
      <c r="M19" s="47"/>
      <c r="N19" s="47"/>
      <c r="P19" s="48"/>
      <c r="S19" s="18"/>
      <c r="T19" s="18"/>
      <c r="U19" s="70"/>
    </row>
    <row r="20" spans="1:21" ht="11.25" customHeight="1">
      <c r="A20" s="69"/>
      <c r="B20" s="32"/>
      <c r="C20" s="32"/>
      <c r="D20" s="33"/>
      <c r="E20" s="33"/>
      <c r="F20" s="33"/>
      <c r="G20" s="33"/>
      <c r="H20" s="53"/>
      <c r="I20" s="18"/>
      <c r="J20" s="18"/>
      <c r="K20" s="18"/>
      <c r="L20" s="47"/>
      <c r="M20" s="47"/>
      <c r="N20" s="47"/>
      <c r="S20" s="18"/>
      <c r="T20" s="18"/>
      <c r="U20" s="70"/>
    </row>
    <row r="21" spans="1:21" ht="87.75" customHeight="1">
      <c r="A21" s="69"/>
      <c r="B21" s="58" t="s">
        <v>2145</v>
      </c>
      <c r="C21" s="18"/>
      <c r="D21" s="35"/>
      <c r="E21" s="35"/>
      <c r="F21" s="35"/>
      <c r="G21" s="35"/>
      <c r="H21" s="59"/>
      <c r="I21" s="18"/>
      <c r="J21" s="18"/>
      <c r="K21" s="18"/>
      <c r="L21" s="47"/>
      <c r="M21" s="47"/>
      <c r="N21" s="47"/>
      <c r="S21" s="18"/>
      <c r="T21" s="18"/>
      <c r="U21" s="70"/>
    </row>
    <row r="22" spans="1:21" s="19" customFormat="1" ht="250.5" customHeight="1">
      <c r="A22" s="71"/>
      <c r="B22" s="61" t="s">
        <v>584</v>
      </c>
      <c r="C22" s="49"/>
      <c r="D22" s="60"/>
      <c r="E22" s="60"/>
      <c r="F22" s="60"/>
      <c r="G22" s="60"/>
      <c r="H22" s="54"/>
      <c r="I22" s="49"/>
      <c r="J22" s="49"/>
      <c r="K22" s="49"/>
      <c r="L22" s="52"/>
      <c r="M22" s="52"/>
      <c r="N22" s="52"/>
      <c r="O22" s="49"/>
      <c r="P22" s="49"/>
      <c r="Q22" s="51"/>
      <c r="R22" s="49"/>
      <c r="S22" s="49"/>
      <c r="T22" s="49"/>
      <c r="U22" s="72"/>
    </row>
    <row r="23" spans="1:21" ht="139.5" customHeight="1">
      <c r="A23" s="69"/>
      <c r="B23" s="82" t="s">
        <v>2453</v>
      </c>
      <c r="C23" s="94" t="s">
        <v>2153</v>
      </c>
      <c r="D23" s="95"/>
      <c r="E23" s="95"/>
      <c r="F23" s="95"/>
      <c r="G23" s="95"/>
      <c r="H23" s="83"/>
      <c r="I23" s="84"/>
      <c r="J23" s="84"/>
      <c r="K23" s="84"/>
      <c r="L23" s="84"/>
      <c r="M23" s="84"/>
      <c r="N23" s="84"/>
      <c r="O23" s="84"/>
      <c r="P23" s="85"/>
      <c r="Q23" s="84"/>
      <c r="R23" s="84"/>
      <c r="S23" s="84"/>
      <c r="T23" s="84"/>
      <c r="U23" s="86"/>
    </row>
    <row r="24" spans="1:21" ht="163.5" customHeight="1">
      <c r="A24" s="69"/>
      <c r="B24" s="82" t="s">
        <v>2402</v>
      </c>
      <c r="C24" s="92">
        <v>44287</v>
      </c>
      <c r="D24" s="93"/>
      <c r="E24" s="93"/>
      <c r="F24" s="93"/>
      <c r="G24" s="93"/>
      <c r="H24" s="87"/>
      <c r="I24" s="84"/>
      <c r="J24" s="84"/>
      <c r="K24" s="84"/>
      <c r="L24" s="84"/>
      <c r="M24" s="84"/>
      <c r="N24" s="84"/>
      <c r="O24" s="84"/>
      <c r="P24" s="84"/>
      <c r="Q24" s="88"/>
      <c r="R24" s="84"/>
      <c r="S24" s="84"/>
      <c r="T24" s="84"/>
      <c r="U24" s="86"/>
    </row>
    <row r="25" spans="1:21" ht="117.75" customHeight="1">
      <c r="A25" s="69"/>
      <c r="B25" s="82" t="s">
        <v>498</v>
      </c>
      <c r="C25" s="96" t="s">
        <v>585</v>
      </c>
      <c r="D25" s="31"/>
      <c r="E25" s="31"/>
      <c r="F25" s="31"/>
      <c r="G25" s="31"/>
      <c r="H25" s="89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6"/>
    </row>
    <row r="26" spans="1:21" ht="201.75" customHeight="1">
      <c r="A26" s="69"/>
      <c r="B26" s="82" t="s">
        <v>499</v>
      </c>
      <c r="C26" s="90">
        <v>500</v>
      </c>
      <c r="D26" s="91"/>
      <c r="E26" s="91"/>
      <c r="F26" s="91"/>
      <c r="G26" s="91"/>
      <c r="H26" s="89"/>
      <c r="I26" s="84"/>
      <c r="J26" s="84"/>
      <c r="K26" s="84"/>
      <c r="L26" s="84"/>
      <c r="M26" s="84"/>
      <c r="N26" s="84"/>
      <c r="O26" s="84"/>
      <c r="P26" s="85"/>
      <c r="Q26" s="84"/>
      <c r="R26" s="84"/>
      <c r="S26" s="84"/>
      <c r="T26" s="84"/>
      <c r="U26" s="86"/>
    </row>
    <row r="27" spans="1:21" ht="35.25">
      <c r="A27" s="73"/>
      <c r="B27" s="18"/>
      <c r="C27" s="18"/>
      <c r="D27" s="37" t="s">
        <v>2148</v>
      </c>
      <c r="E27" s="55"/>
      <c r="F27" s="56"/>
      <c r="G27" s="17"/>
      <c r="H27" s="18"/>
      <c r="I27" s="18"/>
      <c r="J27" s="18"/>
      <c r="K27" s="18"/>
      <c r="L27" s="47"/>
      <c r="M27" s="47"/>
      <c r="N27" s="47"/>
      <c r="S27" s="18"/>
      <c r="T27" s="18"/>
      <c r="U27" s="70"/>
    </row>
    <row r="28" spans="1:21" ht="9" customHeight="1">
      <c r="A28" s="73"/>
      <c r="B28" s="18"/>
      <c r="C28" s="18"/>
      <c r="D28" s="18"/>
      <c r="E28" s="55"/>
      <c r="F28" s="56"/>
      <c r="G28" s="17"/>
      <c r="H28" s="18"/>
      <c r="I28" s="18"/>
      <c r="J28" s="18"/>
      <c r="K28" s="18"/>
      <c r="L28" s="47"/>
      <c r="M28" s="47"/>
      <c r="N28" s="47"/>
      <c r="S28" s="18"/>
      <c r="T28" s="18"/>
      <c r="U28" s="70"/>
    </row>
    <row r="29" spans="1:21" s="18" customFormat="1">
      <c r="A29" s="73"/>
      <c r="E29" s="55"/>
      <c r="F29" s="56"/>
      <c r="G29" s="17"/>
      <c r="U29" s="70"/>
    </row>
    <row r="30" spans="1:21" ht="9" customHeight="1" thickBot="1">
      <c r="A30" s="74"/>
      <c r="B30" s="75"/>
      <c r="C30" s="75"/>
      <c r="D30" s="75"/>
      <c r="E30" s="76"/>
      <c r="F30" s="77"/>
      <c r="G30" s="78"/>
      <c r="H30" s="75"/>
      <c r="I30" s="75"/>
      <c r="J30" s="75"/>
      <c r="K30" s="75"/>
      <c r="L30" s="81"/>
      <c r="M30" s="81"/>
      <c r="N30" s="81"/>
      <c r="O30" s="75"/>
      <c r="P30" s="75"/>
      <c r="Q30" s="75"/>
      <c r="R30" s="75"/>
      <c r="S30" s="75"/>
      <c r="T30" s="75"/>
      <c r="U30" s="79"/>
    </row>
    <row r="31" spans="1:21" ht="9" customHeight="1">
      <c r="A31" s="62"/>
      <c r="B31" s="63"/>
      <c r="C31" s="63"/>
      <c r="D31" s="63"/>
      <c r="E31" s="64"/>
      <c r="F31" s="65"/>
      <c r="G31" s="66"/>
      <c r="H31" s="63"/>
      <c r="I31" s="63"/>
      <c r="J31" s="63"/>
      <c r="K31" s="63"/>
      <c r="L31" s="67"/>
      <c r="M31" s="67"/>
      <c r="N31" s="67"/>
      <c r="O31" s="63"/>
      <c r="P31" s="63"/>
      <c r="Q31" s="63"/>
      <c r="R31" s="63"/>
      <c r="S31" s="63"/>
      <c r="T31" s="63"/>
      <c r="U31" s="68"/>
    </row>
    <row r="32" spans="1:21">
      <c r="A32" s="69"/>
      <c r="B32" s="53"/>
      <c r="C32" s="53"/>
      <c r="D32" s="18"/>
      <c r="E32" s="55"/>
      <c r="F32" s="56"/>
      <c r="G32" s="17"/>
      <c r="H32" s="53"/>
      <c r="I32" s="18"/>
      <c r="J32" s="18"/>
      <c r="K32" s="18"/>
      <c r="L32" s="47"/>
      <c r="M32" s="47"/>
      <c r="N32" s="47"/>
      <c r="S32" s="18"/>
      <c r="T32" s="18"/>
      <c r="U32" s="70"/>
    </row>
    <row r="33" spans="1:21" ht="48" customHeight="1">
      <c r="A33" s="69"/>
      <c r="B33" s="18"/>
      <c r="C33" s="18"/>
      <c r="D33" s="18"/>
      <c r="E33" s="36"/>
      <c r="F33" s="45"/>
      <c r="G33" s="46"/>
      <c r="H33" s="57"/>
      <c r="I33" s="18"/>
      <c r="J33" s="18"/>
      <c r="K33" s="18"/>
      <c r="L33" s="47"/>
      <c r="M33" s="47"/>
      <c r="N33" s="47"/>
      <c r="Q33" s="51"/>
      <c r="S33" s="52">
        <v>3</v>
      </c>
      <c r="T33" s="80" t="s">
        <v>2147</v>
      </c>
      <c r="U33" s="97">
        <v>15</v>
      </c>
    </row>
    <row r="34" spans="1:21" ht="43.5" customHeight="1">
      <c r="A34" s="69"/>
      <c r="B34" s="34"/>
      <c r="C34" s="34"/>
      <c r="D34" s="34"/>
      <c r="E34" s="34"/>
      <c r="F34" s="34"/>
      <c r="G34" s="34"/>
      <c r="H34" s="53"/>
      <c r="I34" s="18"/>
      <c r="J34" s="18"/>
      <c r="K34" s="18"/>
      <c r="L34" s="47"/>
      <c r="M34" s="47"/>
      <c r="N34" s="47"/>
      <c r="P34" s="48"/>
      <c r="S34" s="18"/>
      <c r="T34" s="18"/>
      <c r="U34" s="70"/>
    </row>
    <row r="35" spans="1:21" ht="11.25" customHeight="1">
      <c r="A35" s="69"/>
      <c r="B35" s="32"/>
      <c r="C35" s="32"/>
      <c r="D35" s="33"/>
      <c r="E35" s="33"/>
      <c r="F35" s="33"/>
      <c r="G35" s="33"/>
      <c r="H35" s="53"/>
      <c r="I35" s="18"/>
      <c r="J35" s="18"/>
      <c r="K35" s="18"/>
      <c r="L35" s="47"/>
      <c r="M35" s="47"/>
      <c r="N35" s="47"/>
      <c r="S35" s="18"/>
      <c r="T35" s="18"/>
      <c r="U35" s="70"/>
    </row>
    <row r="36" spans="1:21" ht="87.75" customHeight="1">
      <c r="A36" s="69"/>
      <c r="B36" s="58" t="s">
        <v>2145</v>
      </c>
      <c r="C36" s="18"/>
      <c r="D36" s="35"/>
      <c r="E36" s="35"/>
      <c r="F36" s="35"/>
      <c r="G36" s="35"/>
      <c r="H36" s="59"/>
      <c r="I36" s="18"/>
      <c r="J36" s="18"/>
      <c r="K36" s="18"/>
      <c r="L36" s="47"/>
      <c r="M36" s="47"/>
      <c r="N36" s="47"/>
      <c r="S36" s="18"/>
      <c r="T36" s="18"/>
      <c r="U36" s="70"/>
    </row>
    <row r="37" spans="1:21" s="19" customFormat="1" ht="250.5" customHeight="1">
      <c r="A37" s="71"/>
      <c r="B37" s="61" t="s">
        <v>584</v>
      </c>
      <c r="C37" s="49"/>
      <c r="D37" s="60"/>
      <c r="E37" s="60"/>
      <c r="F37" s="60"/>
      <c r="G37" s="60"/>
      <c r="H37" s="54"/>
      <c r="I37" s="49"/>
      <c r="J37" s="49"/>
      <c r="K37" s="49"/>
      <c r="L37" s="52"/>
      <c r="M37" s="52"/>
      <c r="N37" s="52"/>
      <c r="O37" s="49"/>
      <c r="P37" s="49"/>
      <c r="Q37" s="51"/>
      <c r="R37" s="49"/>
      <c r="S37" s="49"/>
      <c r="T37" s="49"/>
      <c r="U37" s="72"/>
    </row>
    <row r="38" spans="1:21" ht="139.5" customHeight="1">
      <c r="A38" s="69"/>
      <c r="B38" s="82" t="s">
        <v>2453</v>
      </c>
      <c r="C38" s="94" t="s">
        <v>2153</v>
      </c>
      <c r="D38" s="95"/>
      <c r="E38" s="95"/>
      <c r="F38" s="95"/>
      <c r="G38" s="95"/>
      <c r="H38" s="83"/>
      <c r="I38" s="84"/>
      <c r="J38" s="84"/>
      <c r="K38" s="84"/>
      <c r="L38" s="84"/>
      <c r="M38" s="84"/>
      <c r="N38" s="84"/>
      <c r="O38" s="84"/>
      <c r="P38" s="85"/>
      <c r="Q38" s="84"/>
      <c r="R38" s="84"/>
      <c r="S38" s="84"/>
      <c r="T38" s="84"/>
      <c r="U38" s="86"/>
    </row>
    <row r="39" spans="1:21" ht="163.5" customHeight="1">
      <c r="A39" s="69"/>
      <c r="B39" s="82" t="s">
        <v>2402</v>
      </c>
      <c r="C39" s="92">
        <v>44287</v>
      </c>
      <c r="D39" s="93"/>
      <c r="E39" s="93"/>
      <c r="F39" s="93"/>
      <c r="G39" s="93"/>
      <c r="H39" s="87"/>
      <c r="I39" s="84"/>
      <c r="J39" s="84"/>
      <c r="K39" s="84"/>
      <c r="L39" s="84"/>
      <c r="M39" s="84"/>
      <c r="N39" s="84"/>
      <c r="O39" s="84"/>
      <c r="P39" s="84"/>
      <c r="Q39" s="88"/>
      <c r="R39" s="84"/>
      <c r="S39" s="84"/>
      <c r="T39" s="84"/>
      <c r="U39" s="86"/>
    </row>
    <row r="40" spans="1:21" ht="117.75" customHeight="1">
      <c r="A40" s="69"/>
      <c r="B40" s="82" t="s">
        <v>498</v>
      </c>
      <c r="C40" s="96" t="s">
        <v>585</v>
      </c>
      <c r="D40" s="31"/>
      <c r="E40" s="31"/>
      <c r="F40" s="31"/>
      <c r="G40" s="31"/>
      <c r="H40" s="89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6"/>
    </row>
    <row r="41" spans="1:21" ht="201.75" customHeight="1">
      <c r="A41" s="69"/>
      <c r="B41" s="82" t="s">
        <v>499</v>
      </c>
      <c r="C41" s="90">
        <v>500</v>
      </c>
      <c r="D41" s="91"/>
      <c r="E41" s="91"/>
      <c r="F41" s="91"/>
      <c r="G41" s="91"/>
      <c r="H41" s="89"/>
      <c r="I41" s="84"/>
      <c r="J41" s="84"/>
      <c r="K41" s="84"/>
      <c r="L41" s="84"/>
      <c r="M41" s="84"/>
      <c r="N41" s="84"/>
      <c r="O41" s="84"/>
      <c r="P41" s="85"/>
      <c r="Q41" s="84"/>
      <c r="R41" s="84"/>
      <c r="S41" s="84"/>
      <c r="T41" s="84"/>
      <c r="U41" s="86"/>
    </row>
    <row r="42" spans="1:21" ht="35.25">
      <c r="A42" s="73"/>
      <c r="B42" s="18"/>
      <c r="C42" s="18"/>
      <c r="D42" s="37" t="s">
        <v>2148</v>
      </c>
      <c r="E42" s="55"/>
      <c r="F42" s="56"/>
      <c r="G42" s="17"/>
      <c r="H42" s="18"/>
      <c r="I42" s="18"/>
      <c r="J42" s="18"/>
      <c r="K42" s="18"/>
      <c r="L42" s="47"/>
      <c r="M42" s="47"/>
      <c r="N42" s="47"/>
      <c r="S42" s="18"/>
      <c r="T42" s="18"/>
      <c r="U42" s="70"/>
    </row>
    <row r="43" spans="1:21" ht="9" customHeight="1">
      <c r="A43" s="73"/>
      <c r="B43" s="18"/>
      <c r="C43" s="18"/>
      <c r="D43" s="18"/>
      <c r="E43" s="55"/>
      <c r="F43" s="56"/>
      <c r="G43" s="17"/>
      <c r="H43" s="18"/>
      <c r="I43" s="18"/>
      <c r="J43" s="18"/>
      <c r="K43" s="18"/>
      <c r="L43" s="47"/>
      <c r="M43" s="47"/>
      <c r="N43" s="47"/>
      <c r="S43" s="18"/>
      <c r="T43" s="18"/>
      <c r="U43" s="70"/>
    </row>
    <row r="44" spans="1:21" s="18" customFormat="1">
      <c r="A44" s="73"/>
      <c r="E44" s="55"/>
      <c r="F44" s="56"/>
      <c r="G44" s="17"/>
      <c r="U44" s="70"/>
    </row>
    <row r="45" spans="1:21" ht="9" customHeight="1" thickBot="1">
      <c r="A45" s="74"/>
      <c r="B45" s="75"/>
      <c r="C45" s="75"/>
      <c r="D45" s="75"/>
      <c r="E45" s="76"/>
      <c r="F45" s="77"/>
      <c r="G45" s="78"/>
      <c r="H45" s="75"/>
      <c r="I45" s="75"/>
      <c r="J45" s="75"/>
      <c r="K45" s="75"/>
      <c r="L45" s="81"/>
      <c r="M45" s="81"/>
      <c r="N45" s="81"/>
      <c r="O45" s="75"/>
      <c r="P45" s="75"/>
      <c r="Q45" s="75"/>
      <c r="R45" s="75"/>
      <c r="S45" s="75"/>
      <c r="T45" s="75"/>
      <c r="U45" s="79"/>
    </row>
    <row r="46" spans="1:21" ht="9" customHeight="1">
      <c r="A46" s="62"/>
      <c r="B46" s="63"/>
      <c r="C46" s="63"/>
      <c r="D46" s="63"/>
      <c r="E46" s="64"/>
      <c r="F46" s="65"/>
      <c r="G46" s="66"/>
      <c r="H46" s="63"/>
      <c r="I46" s="63"/>
      <c r="J46" s="63"/>
      <c r="K46" s="63"/>
      <c r="L46" s="67"/>
      <c r="M46" s="67"/>
      <c r="N46" s="67"/>
      <c r="O46" s="63"/>
      <c r="P46" s="63"/>
      <c r="Q46" s="63"/>
      <c r="R46" s="63"/>
      <c r="S46" s="63"/>
      <c r="T46" s="63"/>
      <c r="U46" s="68"/>
    </row>
    <row r="47" spans="1:21">
      <c r="A47" s="69"/>
      <c r="B47" s="53"/>
      <c r="C47" s="53"/>
      <c r="D47" s="18"/>
      <c r="E47" s="55"/>
      <c r="F47" s="56"/>
      <c r="G47" s="17"/>
      <c r="H47" s="53"/>
      <c r="I47" s="18"/>
      <c r="J47" s="18"/>
      <c r="K47" s="18"/>
      <c r="L47" s="47"/>
      <c r="M47" s="47"/>
      <c r="N47" s="47"/>
      <c r="S47" s="18"/>
      <c r="T47" s="18"/>
      <c r="U47" s="70"/>
    </row>
    <row r="48" spans="1:21" ht="48" customHeight="1">
      <c r="A48" s="69"/>
      <c r="B48" s="18"/>
      <c r="C48" s="18"/>
      <c r="D48" s="18"/>
      <c r="E48" s="36"/>
      <c r="F48" s="45"/>
      <c r="G48" s="46"/>
      <c r="H48" s="57"/>
      <c r="I48" s="18"/>
      <c r="J48" s="18"/>
      <c r="K48" s="18"/>
      <c r="L48" s="47"/>
      <c r="M48" s="47"/>
      <c r="N48" s="47"/>
      <c r="Q48" s="51"/>
      <c r="S48" s="52">
        <v>4</v>
      </c>
      <c r="T48" s="80" t="s">
        <v>2147</v>
      </c>
      <c r="U48" s="97">
        <v>15</v>
      </c>
    </row>
    <row r="49" spans="1:21" ht="43.5" customHeight="1">
      <c r="A49" s="69"/>
      <c r="B49" s="34"/>
      <c r="C49" s="34"/>
      <c r="D49" s="34"/>
      <c r="E49" s="34"/>
      <c r="F49" s="34"/>
      <c r="G49" s="34"/>
      <c r="H49" s="53"/>
      <c r="I49" s="18"/>
      <c r="J49" s="18"/>
      <c r="K49" s="18"/>
      <c r="L49" s="47"/>
      <c r="M49" s="47"/>
      <c r="N49" s="47"/>
      <c r="P49" s="48"/>
      <c r="S49" s="18"/>
      <c r="T49" s="18"/>
      <c r="U49" s="70"/>
    </row>
    <row r="50" spans="1:21" ht="11.25" customHeight="1">
      <c r="A50" s="69"/>
      <c r="B50" s="32"/>
      <c r="C50" s="32"/>
      <c r="D50" s="33"/>
      <c r="E50" s="33"/>
      <c r="F50" s="33"/>
      <c r="G50" s="33"/>
      <c r="H50" s="53"/>
      <c r="I50" s="18"/>
      <c r="J50" s="18"/>
      <c r="K50" s="18"/>
      <c r="L50" s="47"/>
      <c r="M50" s="47"/>
      <c r="N50" s="47"/>
      <c r="S50" s="18"/>
      <c r="T50" s="18"/>
      <c r="U50" s="70"/>
    </row>
    <row r="51" spans="1:21" ht="87.75" customHeight="1">
      <c r="A51" s="69"/>
      <c r="B51" s="58" t="s">
        <v>2145</v>
      </c>
      <c r="C51" s="18"/>
      <c r="D51" s="35"/>
      <c r="E51" s="35"/>
      <c r="F51" s="35"/>
      <c r="G51" s="35"/>
      <c r="H51" s="59"/>
      <c r="I51" s="18"/>
      <c r="J51" s="18"/>
      <c r="K51" s="18"/>
      <c r="L51" s="47"/>
      <c r="M51" s="47"/>
      <c r="N51" s="47"/>
      <c r="S51" s="18"/>
      <c r="T51" s="18"/>
      <c r="U51" s="70"/>
    </row>
    <row r="52" spans="1:21" s="19" customFormat="1" ht="250.5" customHeight="1">
      <c r="A52" s="71"/>
      <c r="B52" s="61" t="s">
        <v>584</v>
      </c>
      <c r="C52" s="49"/>
      <c r="D52" s="60"/>
      <c r="E52" s="60"/>
      <c r="F52" s="60"/>
      <c r="G52" s="60"/>
      <c r="H52" s="54"/>
      <c r="I52" s="49"/>
      <c r="J52" s="49"/>
      <c r="K52" s="49"/>
      <c r="L52" s="52"/>
      <c r="M52" s="52"/>
      <c r="N52" s="52"/>
      <c r="O52" s="49"/>
      <c r="P52" s="49"/>
      <c r="Q52" s="51"/>
      <c r="R52" s="49"/>
      <c r="S52" s="49"/>
      <c r="T52" s="49"/>
      <c r="U52" s="72"/>
    </row>
    <row r="53" spans="1:21" ht="139.5" customHeight="1">
      <c r="A53" s="69"/>
      <c r="B53" s="82" t="s">
        <v>2453</v>
      </c>
      <c r="C53" s="94" t="s">
        <v>2153</v>
      </c>
      <c r="D53" s="95"/>
      <c r="E53" s="95"/>
      <c r="F53" s="95"/>
      <c r="G53" s="95"/>
      <c r="H53" s="83"/>
      <c r="I53" s="84"/>
      <c r="J53" s="84"/>
      <c r="K53" s="84"/>
      <c r="L53" s="84"/>
      <c r="M53" s="84"/>
      <c r="N53" s="84"/>
      <c r="O53" s="84"/>
      <c r="P53" s="85"/>
      <c r="Q53" s="84"/>
      <c r="R53" s="84"/>
      <c r="S53" s="84"/>
      <c r="T53" s="84"/>
      <c r="U53" s="86"/>
    </row>
    <row r="54" spans="1:21" ht="163.5" customHeight="1">
      <c r="A54" s="69"/>
      <c r="B54" s="82" t="s">
        <v>2402</v>
      </c>
      <c r="C54" s="92">
        <v>44287</v>
      </c>
      <c r="D54" s="93"/>
      <c r="E54" s="93"/>
      <c r="F54" s="93"/>
      <c r="G54" s="93"/>
      <c r="H54" s="87"/>
      <c r="I54" s="84"/>
      <c r="J54" s="84"/>
      <c r="K54" s="84"/>
      <c r="L54" s="84"/>
      <c r="M54" s="84"/>
      <c r="N54" s="84"/>
      <c r="O54" s="84"/>
      <c r="P54" s="84"/>
      <c r="Q54" s="88"/>
      <c r="R54" s="84"/>
      <c r="S54" s="84"/>
      <c r="T54" s="84"/>
      <c r="U54" s="86"/>
    </row>
    <row r="55" spans="1:21" ht="117.75" customHeight="1">
      <c r="A55" s="69"/>
      <c r="B55" s="82" t="s">
        <v>498</v>
      </c>
      <c r="C55" s="96" t="s">
        <v>585</v>
      </c>
      <c r="D55" s="31"/>
      <c r="E55" s="31"/>
      <c r="F55" s="31"/>
      <c r="G55" s="31"/>
      <c r="H55" s="89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6"/>
    </row>
    <row r="56" spans="1:21" ht="201.75" customHeight="1">
      <c r="A56" s="69"/>
      <c r="B56" s="82" t="s">
        <v>499</v>
      </c>
      <c r="C56" s="90">
        <v>500</v>
      </c>
      <c r="D56" s="91"/>
      <c r="E56" s="91"/>
      <c r="F56" s="91"/>
      <c r="G56" s="91"/>
      <c r="H56" s="89"/>
      <c r="I56" s="84"/>
      <c r="J56" s="84"/>
      <c r="K56" s="84"/>
      <c r="L56" s="84"/>
      <c r="M56" s="84"/>
      <c r="N56" s="84"/>
      <c r="O56" s="84"/>
      <c r="P56" s="85"/>
      <c r="Q56" s="84"/>
      <c r="R56" s="84"/>
      <c r="S56" s="84"/>
      <c r="T56" s="84"/>
      <c r="U56" s="86"/>
    </row>
    <row r="57" spans="1:21" ht="35.25">
      <c r="A57" s="73"/>
      <c r="B57" s="18"/>
      <c r="C57" s="18"/>
      <c r="D57" s="37" t="s">
        <v>2148</v>
      </c>
      <c r="E57" s="55"/>
      <c r="F57" s="56"/>
      <c r="G57" s="17"/>
      <c r="H57" s="18"/>
      <c r="I57" s="18"/>
      <c r="J57" s="18"/>
      <c r="K57" s="18"/>
      <c r="L57" s="47"/>
      <c r="M57" s="47"/>
      <c r="N57" s="47"/>
      <c r="S57" s="18"/>
      <c r="T57" s="18"/>
      <c r="U57" s="70"/>
    </row>
    <row r="58" spans="1:21" ht="9" customHeight="1">
      <c r="A58" s="73"/>
      <c r="B58" s="18"/>
      <c r="C58" s="18"/>
      <c r="D58" s="18"/>
      <c r="E58" s="55"/>
      <c r="F58" s="56"/>
      <c r="G58" s="17"/>
      <c r="H58" s="18"/>
      <c r="I58" s="18"/>
      <c r="J58" s="18"/>
      <c r="K58" s="18"/>
      <c r="L58" s="47"/>
      <c r="M58" s="47"/>
      <c r="N58" s="47"/>
      <c r="S58" s="18"/>
      <c r="T58" s="18"/>
      <c r="U58" s="70"/>
    </row>
    <row r="59" spans="1:21" s="18" customFormat="1">
      <c r="A59" s="73"/>
      <c r="E59" s="55"/>
      <c r="F59" s="56"/>
      <c r="G59" s="17"/>
      <c r="U59" s="70"/>
    </row>
    <row r="60" spans="1:21" ht="9" customHeight="1" thickBot="1">
      <c r="A60" s="74"/>
      <c r="B60" s="75"/>
      <c r="C60" s="75"/>
      <c r="D60" s="75"/>
      <c r="E60" s="76"/>
      <c r="F60" s="77"/>
      <c r="G60" s="78"/>
      <c r="H60" s="75"/>
      <c r="I60" s="75"/>
      <c r="J60" s="75"/>
      <c r="K60" s="75"/>
      <c r="L60" s="81"/>
      <c r="M60" s="81"/>
      <c r="N60" s="81"/>
      <c r="O60" s="75"/>
      <c r="P60" s="75"/>
      <c r="Q60" s="75"/>
      <c r="R60" s="75"/>
      <c r="S60" s="75"/>
      <c r="T60" s="75"/>
      <c r="U60" s="79"/>
    </row>
    <row r="61" spans="1:21" ht="9" customHeight="1">
      <c r="A61" s="62"/>
      <c r="B61" s="63"/>
      <c r="C61" s="63"/>
      <c r="D61" s="63"/>
      <c r="E61" s="64"/>
      <c r="F61" s="65"/>
      <c r="G61" s="66"/>
      <c r="H61" s="63"/>
      <c r="I61" s="63"/>
      <c r="J61" s="63"/>
      <c r="K61" s="63"/>
      <c r="L61" s="67"/>
      <c r="M61" s="67"/>
      <c r="N61" s="67"/>
      <c r="O61" s="63"/>
      <c r="P61" s="63"/>
      <c r="Q61" s="63"/>
      <c r="R61" s="63"/>
      <c r="S61" s="63"/>
      <c r="T61" s="63"/>
      <c r="U61" s="68"/>
    </row>
    <row r="62" spans="1:21">
      <c r="A62" s="69"/>
      <c r="B62" s="53"/>
      <c r="C62" s="53"/>
      <c r="D62" s="18"/>
      <c r="E62" s="55"/>
      <c r="F62" s="56"/>
      <c r="G62" s="17"/>
      <c r="H62" s="53"/>
      <c r="I62" s="18"/>
      <c r="J62" s="18"/>
      <c r="K62" s="18"/>
      <c r="L62" s="47"/>
      <c r="M62" s="47"/>
      <c r="N62" s="47"/>
      <c r="S62" s="18"/>
      <c r="T62" s="18"/>
      <c r="U62" s="70"/>
    </row>
    <row r="63" spans="1:21" ht="48" customHeight="1">
      <c r="A63" s="69"/>
      <c r="B63" s="18"/>
      <c r="C63" s="18"/>
      <c r="D63" s="18"/>
      <c r="E63" s="36"/>
      <c r="F63" s="45"/>
      <c r="G63" s="46"/>
      <c r="H63" s="57"/>
      <c r="I63" s="18"/>
      <c r="J63" s="18"/>
      <c r="K63" s="18"/>
      <c r="L63" s="47"/>
      <c r="M63" s="47"/>
      <c r="N63" s="47"/>
      <c r="Q63" s="51"/>
      <c r="S63" s="52">
        <v>5</v>
      </c>
      <c r="T63" s="80" t="s">
        <v>2147</v>
      </c>
      <c r="U63" s="97">
        <v>15</v>
      </c>
    </row>
    <row r="64" spans="1:21" ht="43.5" customHeight="1">
      <c r="A64" s="69"/>
      <c r="B64" s="34"/>
      <c r="C64" s="34"/>
      <c r="D64" s="34"/>
      <c r="E64" s="34"/>
      <c r="F64" s="34"/>
      <c r="G64" s="34"/>
      <c r="H64" s="53"/>
      <c r="I64" s="18"/>
      <c r="J64" s="18"/>
      <c r="K64" s="18"/>
      <c r="L64" s="47"/>
      <c r="M64" s="47"/>
      <c r="N64" s="47"/>
      <c r="P64" s="48"/>
      <c r="S64" s="18"/>
      <c r="T64" s="18"/>
      <c r="U64" s="70"/>
    </row>
    <row r="65" spans="1:21" ht="11.25" customHeight="1">
      <c r="A65" s="69"/>
      <c r="B65" s="32"/>
      <c r="C65" s="32"/>
      <c r="D65" s="33"/>
      <c r="E65" s="33"/>
      <c r="F65" s="33"/>
      <c r="G65" s="33"/>
      <c r="H65" s="53"/>
      <c r="I65" s="18"/>
      <c r="J65" s="18"/>
      <c r="K65" s="18"/>
      <c r="L65" s="47"/>
      <c r="M65" s="47"/>
      <c r="N65" s="47"/>
      <c r="S65" s="18"/>
      <c r="T65" s="18"/>
      <c r="U65" s="70"/>
    </row>
    <row r="66" spans="1:21" ht="87.75" customHeight="1">
      <c r="A66" s="69"/>
      <c r="B66" s="58" t="s">
        <v>2145</v>
      </c>
      <c r="C66" s="18"/>
      <c r="D66" s="35"/>
      <c r="E66" s="35"/>
      <c r="F66" s="35"/>
      <c r="G66" s="35"/>
      <c r="H66" s="59"/>
      <c r="I66" s="18"/>
      <c r="J66" s="18"/>
      <c r="K66" s="18"/>
      <c r="L66" s="47"/>
      <c r="M66" s="47"/>
      <c r="N66" s="47"/>
      <c r="S66" s="18"/>
      <c r="T66" s="18"/>
      <c r="U66" s="70"/>
    </row>
    <row r="67" spans="1:21" s="19" customFormat="1" ht="250.5" customHeight="1">
      <c r="A67" s="71"/>
      <c r="B67" s="61" t="s">
        <v>584</v>
      </c>
      <c r="C67" s="49"/>
      <c r="D67" s="60"/>
      <c r="E67" s="60"/>
      <c r="F67" s="60"/>
      <c r="G67" s="60"/>
      <c r="H67" s="54"/>
      <c r="I67" s="49"/>
      <c r="J67" s="49"/>
      <c r="K67" s="49"/>
      <c r="L67" s="52"/>
      <c r="M67" s="52"/>
      <c r="N67" s="52"/>
      <c r="O67" s="49"/>
      <c r="P67" s="49"/>
      <c r="Q67" s="51"/>
      <c r="R67" s="49"/>
      <c r="S67" s="49"/>
      <c r="T67" s="49"/>
      <c r="U67" s="72"/>
    </row>
    <row r="68" spans="1:21" ht="139.5" customHeight="1">
      <c r="A68" s="69"/>
      <c r="B68" s="82" t="s">
        <v>2453</v>
      </c>
      <c r="C68" s="94" t="s">
        <v>2153</v>
      </c>
      <c r="D68" s="95"/>
      <c r="E68" s="95"/>
      <c r="F68" s="95"/>
      <c r="G68" s="95"/>
      <c r="H68" s="83"/>
      <c r="I68" s="84"/>
      <c r="J68" s="84"/>
      <c r="K68" s="84"/>
      <c r="L68" s="84"/>
      <c r="M68" s="84"/>
      <c r="N68" s="84"/>
      <c r="O68" s="84"/>
      <c r="P68" s="85"/>
      <c r="Q68" s="84"/>
      <c r="R68" s="84"/>
      <c r="S68" s="84"/>
      <c r="T68" s="84"/>
      <c r="U68" s="86"/>
    </row>
    <row r="69" spans="1:21" ht="163.5" customHeight="1">
      <c r="A69" s="69"/>
      <c r="B69" s="82" t="s">
        <v>2402</v>
      </c>
      <c r="C69" s="92">
        <v>44287</v>
      </c>
      <c r="D69" s="93"/>
      <c r="E69" s="93"/>
      <c r="F69" s="93"/>
      <c r="G69" s="93"/>
      <c r="H69" s="87"/>
      <c r="I69" s="84"/>
      <c r="J69" s="84"/>
      <c r="K69" s="84"/>
      <c r="L69" s="84"/>
      <c r="M69" s="84"/>
      <c r="N69" s="84"/>
      <c r="O69" s="84"/>
      <c r="P69" s="84"/>
      <c r="Q69" s="88"/>
      <c r="R69" s="84"/>
      <c r="S69" s="84"/>
      <c r="T69" s="84"/>
      <c r="U69" s="86"/>
    </row>
    <row r="70" spans="1:21" ht="117.75" customHeight="1">
      <c r="A70" s="69"/>
      <c r="B70" s="82" t="s">
        <v>498</v>
      </c>
      <c r="C70" s="96" t="s">
        <v>585</v>
      </c>
      <c r="D70" s="31"/>
      <c r="E70" s="31"/>
      <c r="F70" s="31"/>
      <c r="G70" s="31"/>
      <c r="H70" s="89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6"/>
    </row>
    <row r="71" spans="1:21" ht="201.75" customHeight="1">
      <c r="A71" s="69"/>
      <c r="B71" s="82" t="s">
        <v>499</v>
      </c>
      <c r="C71" s="90">
        <v>500</v>
      </c>
      <c r="D71" s="91"/>
      <c r="E71" s="91"/>
      <c r="F71" s="91"/>
      <c r="G71" s="91"/>
      <c r="H71" s="89"/>
      <c r="I71" s="84"/>
      <c r="J71" s="84"/>
      <c r="K71" s="84"/>
      <c r="L71" s="84"/>
      <c r="M71" s="84"/>
      <c r="N71" s="84"/>
      <c r="O71" s="84"/>
      <c r="P71" s="85"/>
      <c r="Q71" s="84"/>
      <c r="R71" s="84"/>
      <c r="S71" s="84"/>
      <c r="T71" s="84"/>
      <c r="U71" s="86"/>
    </row>
    <row r="72" spans="1:21" ht="35.25">
      <c r="A72" s="73"/>
      <c r="B72" s="18"/>
      <c r="C72" s="18"/>
      <c r="D72" s="37" t="s">
        <v>2148</v>
      </c>
      <c r="E72" s="55"/>
      <c r="F72" s="56"/>
      <c r="G72" s="17"/>
      <c r="H72" s="18"/>
      <c r="I72" s="18"/>
      <c r="J72" s="18"/>
      <c r="K72" s="18"/>
      <c r="L72" s="47"/>
      <c r="M72" s="47"/>
      <c r="N72" s="47"/>
      <c r="S72" s="18"/>
      <c r="T72" s="18"/>
      <c r="U72" s="70"/>
    </row>
    <row r="73" spans="1:21" ht="9" customHeight="1">
      <c r="A73" s="73"/>
      <c r="B73" s="18"/>
      <c r="C73" s="18"/>
      <c r="D73" s="18"/>
      <c r="E73" s="55"/>
      <c r="F73" s="56"/>
      <c r="G73" s="17"/>
      <c r="H73" s="18"/>
      <c r="I73" s="18"/>
      <c r="J73" s="18"/>
      <c r="K73" s="18"/>
      <c r="L73" s="47"/>
      <c r="M73" s="47"/>
      <c r="N73" s="47"/>
      <c r="S73" s="18"/>
      <c r="T73" s="18"/>
      <c r="U73" s="70"/>
    </row>
    <row r="74" spans="1:21" s="18" customFormat="1">
      <c r="A74" s="73"/>
      <c r="E74" s="55"/>
      <c r="F74" s="56"/>
      <c r="G74" s="17"/>
      <c r="U74" s="70"/>
    </row>
    <row r="75" spans="1:21" ht="9" customHeight="1" thickBot="1">
      <c r="A75" s="74"/>
      <c r="B75" s="75"/>
      <c r="C75" s="75"/>
      <c r="D75" s="75"/>
      <c r="E75" s="76"/>
      <c r="F75" s="77"/>
      <c r="G75" s="78"/>
      <c r="H75" s="75"/>
      <c r="I75" s="75"/>
      <c r="J75" s="75"/>
      <c r="K75" s="75"/>
      <c r="L75" s="81"/>
      <c r="M75" s="81"/>
      <c r="N75" s="81"/>
      <c r="O75" s="75"/>
      <c r="P75" s="75"/>
      <c r="Q75" s="75"/>
      <c r="R75" s="75"/>
      <c r="S75" s="75"/>
      <c r="T75" s="75"/>
      <c r="U75" s="79"/>
    </row>
    <row r="76" spans="1:21" ht="9" customHeight="1">
      <c r="A76" s="62"/>
      <c r="B76" s="63"/>
      <c r="C76" s="63"/>
      <c r="D76" s="63"/>
      <c r="E76" s="64"/>
      <c r="F76" s="65"/>
      <c r="G76" s="66"/>
      <c r="H76" s="63"/>
      <c r="I76" s="63"/>
      <c r="J76" s="63"/>
      <c r="K76" s="63"/>
      <c r="L76" s="67"/>
      <c r="M76" s="67"/>
      <c r="N76" s="67"/>
      <c r="O76" s="63"/>
      <c r="P76" s="63"/>
      <c r="Q76" s="63"/>
      <c r="R76" s="63"/>
      <c r="S76" s="63"/>
      <c r="T76" s="63"/>
      <c r="U76" s="68"/>
    </row>
    <row r="77" spans="1:21">
      <c r="A77" s="69"/>
      <c r="B77" s="53"/>
      <c r="C77" s="53"/>
      <c r="D77" s="18"/>
      <c r="E77" s="55"/>
      <c r="F77" s="56"/>
      <c r="G77" s="17"/>
      <c r="H77" s="53"/>
      <c r="I77" s="18"/>
      <c r="J77" s="18"/>
      <c r="K77" s="18"/>
      <c r="L77" s="47"/>
      <c r="M77" s="47"/>
      <c r="N77" s="47"/>
      <c r="S77" s="18"/>
      <c r="T77" s="18"/>
      <c r="U77" s="70"/>
    </row>
    <row r="78" spans="1:21" ht="48" customHeight="1">
      <c r="A78" s="69"/>
      <c r="B78" s="18"/>
      <c r="C78" s="18"/>
      <c r="D78" s="18"/>
      <c r="E78" s="36"/>
      <c r="F78" s="45"/>
      <c r="G78" s="46"/>
      <c r="H78" s="57"/>
      <c r="I78" s="18"/>
      <c r="J78" s="18"/>
      <c r="K78" s="18"/>
      <c r="L78" s="47"/>
      <c r="M78" s="47"/>
      <c r="N78" s="47"/>
      <c r="Q78" s="51"/>
      <c r="S78" s="52">
        <v>6</v>
      </c>
      <c r="T78" s="80" t="s">
        <v>2147</v>
      </c>
      <c r="U78" s="97">
        <v>15</v>
      </c>
    </row>
    <row r="79" spans="1:21" ht="43.5" customHeight="1">
      <c r="A79" s="69"/>
      <c r="B79" s="34"/>
      <c r="C79" s="34"/>
      <c r="D79" s="34"/>
      <c r="E79" s="34"/>
      <c r="F79" s="34"/>
      <c r="G79" s="34"/>
      <c r="H79" s="53"/>
      <c r="I79" s="18"/>
      <c r="J79" s="18"/>
      <c r="K79" s="18"/>
      <c r="L79" s="47"/>
      <c r="M79" s="47"/>
      <c r="N79" s="47"/>
      <c r="P79" s="48"/>
      <c r="S79" s="18"/>
      <c r="T79" s="18"/>
      <c r="U79" s="70"/>
    </row>
    <row r="80" spans="1:21" ht="11.25" customHeight="1">
      <c r="A80" s="69"/>
      <c r="B80" s="32"/>
      <c r="C80" s="32"/>
      <c r="D80" s="33"/>
      <c r="E80" s="33"/>
      <c r="F80" s="33"/>
      <c r="G80" s="33"/>
      <c r="H80" s="53"/>
      <c r="I80" s="18"/>
      <c r="J80" s="18"/>
      <c r="K80" s="18"/>
      <c r="L80" s="47"/>
      <c r="M80" s="47"/>
      <c r="N80" s="47"/>
      <c r="S80" s="18"/>
      <c r="T80" s="18"/>
      <c r="U80" s="70"/>
    </row>
    <row r="81" spans="1:21" ht="87.75" customHeight="1">
      <c r="A81" s="69"/>
      <c r="B81" s="58" t="s">
        <v>2145</v>
      </c>
      <c r="C81" s="18"/>
      <c r="D81" s="35"/>
      <c r="E81" s="35"/>
      <c r="F81" s="35"/>
      <c r="G81" s="35"/>
      <c r="H81" s="59"/>
      <c r="I81" s="18"/>
      <c r="J81" s="18"/>
      <c r="K81" s="18"/>
      <c r="L81" s="47"/>
      <c r="M81" s="47"/>
      <c r="N81" s="47"/>
      <c r="S81" s="18"/>
      <c r="T81" s="18"/>
      <c r="U81" s="70"/>
    </row>
    <row r="82" spans="1:21" s="19" customFormat="1" ht="250.5" customHeight="1">
      <c r="A82" s="71"/>
      <c r="B82" s="61" t="s">
        <v>584</v>
      </c>
      <c r="C82" s="49"/>
      <c r="D82" s="60"/>
      <c r="E82" s="60"/>
      <c r="F82" s="60"/>
      <c r="G82" s="60"/>
      <c r="H82" s="54"/>
      <c r="I82" s="49"/>
      <c r="J82" s="49"/>
      <c r="K82" s="49"/>
      <c r="L82" s="52"/>
      <c r="M82" s="52"/>
      <c r="N82" s="52"/>
      <c r="O82" s="49"/>
      <c r="P82" s="49"/>
      <c r="Q82" s="51"/>
      <c r="R82" s="49"/>
      <c r="S82" s="49"/>
      <c r="T82" s="49"/>
      <c r="U82" s="72"/>
    </row>
    <row r="83" spans="1:21" ht="139.5" customHeight="1">
      <c r="A83" s="69"/>
      <c r="B83" s="82" t="s">
        <v>2453</v>
      </c>
      <c r="C83" s="94" t="s">
        <v>2153</v>
      </c>
      <c r="D83" s="95"/>
      <c r="E83" s="95"/>
      <c r="F83" s="95"/>
      <c r="G83" s="95"/>
      <c r="H83" s="83"/>
      <c r="I83" s="84"/>
      <c r="J83" s="84"/>
      <c r="K83" s="84"/>
      <c r="L83" s="84"/>
      <c r="M83" s="84"/>
      <c r="N83" s="84"/>
      <c r="O83" s="84"/>
      <c r="P83" s="85"/>
      <c r="Q83" s="84"/>
      <c r="R83" s="84"/>
      <c r="S83" s="84"/>
      <c r="T83" s="84"/>
      <c r="U83" s="86"/>
    </row>
    <row r="84" spans="1:21" ht="163.5" customHeight="1">
      <c r="A84" s="69"/>
      <c r="B84" s="82" t="s">
        <v>2402</v>
      </c>
      <c r="C84" s="92">
        <v>44287</v>
      </c>
      <c r="D84" s="93"/>
      <c r="E84" s="93"/>
      <c r="F84" s="93"/>
      <c r="G84" s="93"/>
      <c r="H84" s="87"/>
      <c r="I84" s="84"/>
      <c r="J84" s="84"/>
      <c r="K84" s="84"/>
      <c r="L84" s="84"/>
      <c r="M84" s="84"/>
      <c r="N84" s="84"/>
      <c r="O84" s="84"/>
      <c r="P84" s="84"/>
      <c r="Q84" s="88"/>
      <c r="R84" s="84"/>
      <c r="S84" s="84"/>
      <c r="T84" s="84"/>
      <c r="U84" s="86"/>
    </row>
    <row r="85" spans="1:21" ht="117.75" customHeight="1">
      <c r="A85" s="69"/>
      <c r="B85" s="82" t="s">
        <v>498</v>
      </c>
      <c r="C85" s="96" t="s">
        <v>585</v>
      </c>
      <c r="D85" s="31"/>
      <c r="E85" s="31"/>
      <c r="F85" s="31"/>
      <c r="G85" s="31"/>
      <c r="H85" s="89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6"/>
    </row>
    <row r="86" spans="1:21" ht="201.75" customHeight="1">
      <c r="A86" s="69"/>
      <c r="B86" s="82" t="s">
        <v>499</v>
      </c>
      <c r="C86" s="90">
        <v>500</v>
      </c>
      <c r="D86" s="91"/>
      <c r="E86" s="91"/>
      <c r="F86" s="91"/>
      <c r="G86" s="91"/>
      <c r="H86" s="89"/>
      <c r="I86" s="84"/>
      <c r="J86" s="84"/>
      <c r="K86" s="84"/>
      <c r="L86" s="84"/>
      <c r="M86" s="84"/>
      <c r="N86" s="84"/>
      <c r="O86" s="84"/>
      <c r="P86" s="85"/>
      <c r="Q86" s="84"/>
      <c r="R86" s="84"/>
      <c r="S86" s="84"/>
      <c r="T86" s="84"/>
      <c r="U86" s="86"/>
    </row>
    <row r="87" spans="1:21" ht="35.25">
      <c r="A87" s="73"/>
      <c r="B87" s="18"/>
      <c r="C87" s="18"/>
      <c r="D87" s="37" t="s">
        <v>2148</v>
      </c>
      <c r="E87" s="55"/>
      <c r="F87" s="56"/>
      <c r="G87" s="17"/>
      <c r="H87" s="18"/>
      <c r="I87" s="18"/>
      <c r="J87" s="18"/>
      <c r="K87" s="18"/>
      <c r="L87" s="47"/>
      <c r="M87" s="47"/>
      <c r="N87" s="47"/>
      <c r="S87" s="18"/>
      <c r="T87" s="18"/>
      <c r="U87" s="70"/>
    </row>
    <row r="88" spans="1:21" ht="9" customHeight="1">
      <c r="A88" s="73"/>
      <c r="B88" s="18"/>
      <c r="C88" s="18"/>
      <c r="D88" s="18"/>
      <c r="E88" s="55"/>
      <c r="F88" s="56"/>
      <c r="G88" s="17"/>
      <c r="H88" s="18"/>
      <c r="I88" s="18"/>
      <c r="J88" s="18"/>
      <c r="K88" s="18"/>
      <c r="L88" s="47"/>
      <c r="M88" s="47"/>
      <c r="N88" s="47"/>
      <c r="S88" s="18"/>
      <c r="T88" s="18"/>
      <c r="U88" s="70"/>
    </row>
    <row r="89" spans="1:21" s="18" customFormat="1">
      <c r="A89" s="73"/>
      <c r="E89" s="55"/>
      <c r="F89" s="56"/>
      <c r="G89" s="17"/>
      <c r="U89" s="70"/>
    </row>
    <row r="90" spans="1:21" ht="9" customHeight="1" thickBot="1">
      <c r="A90" s="74"/>
      <c r="B90" s="75"/>
      <c r="C90" s="75"/>
      <c r="D90" s="75"/>
      <c r="E90" s="76"/>
      <c r="F90" s="77"/>
      <c r="G90" s="78"/>
      <c r="H90" s="75"/>
      <c r="I90" s="75"/>
      <c r="J90" s="75"/>
      <c r="K90" s="75"/>
      <c r="L90" s="81"/>
      <c r="M90" s="81"/>
      <c r="N90" s="81"/>
      <c r="O90" s="75"/>
      <c r="P90" s="75"/>
      <c r="Q90" s="75"/>
      <c r="R90" s="75"/>
      <c r="S90" s="75"/>
      <c r="T90" s="75"/>
      <c r="U90" s="79"/>
    </row>
    <row r="91" spans="1:21" ht="9" customHeight="1">
      <c r="A91" s="62"/>
      <c r="B91" s="63"/>
      <c r="C91" s="63"/>
      <c r="D91" s="63"/>
      <c r="E91" s="64"/>
      <c r="F91" s="65"/>
      <c r="G91" s="66"/>
      <c r="H91" s="63"/>
      <c r="I91" s="63"/>
      <c r="J91" s="63"/>
      <c r="K91" s="63"/>
      <c r="L91" s="67"/>
      <c r="M91" s="67"/>
      <c r="N91" s="67"/>
      <c r="O91" s="63"/>
      <c r="P91" s="63"/>
      <c r="Q91" s="63"/>
      <c r="R91" s="63"/>
      <c r="S91" s="63"/>
      <c r="T91" s="63"/>
      <c r="U91" s="68"/>
    </row>
    <row r="92" spans="1:21">
      <c r="A92" s="69"/>
      <c r="B92" s="53"/>
      <c r="C92" s="53"/>
      <c r="D92" s="18"/>
      <c r="E92" s="55"/>
      <c r="F92" s="56"/>
      <c r="G92" s="17"/>
      <c r="H92" s="53"/>
      <c r="I92" s="18"/>
      <c r="J92" s="18"/>
      <c r="K92" s="18"/>
      <c r="L92" s="47"/>
      <c r="M92" s="47"/>
      <c r="N92" s="47"/>
      <c r="S92" s="18"/>
      <c r="T92" s="18"/>
      <c r="U92" s="70"/>
    </row>
    <row r="93" spans="1:21" ht="48" customHeight="1">
      <c r="A93" s="69"/>
      <c r="B93" s="18"/>
      <c r="C93" s="18"/>
      <c r="D93" s="18"/>
      <c r="E93" s="36"/>
      <c r="F93" s="45"/>
      <c r="G93" s="46"/>
      <c r="H93" s="57"/>
      <c r="I93" s="18"/>
      <c r="J93" s="18"/>
      <c r="K93" s="18"/>
      <c r="L93" s="47"/>
      <c r="M93" s="47"/>
      <c r="N93" s="47"/>
      <c r="Q93" s="51"/>
      <c r="S93" s="52">
        <v>7</v>
      </c>
      <c r="T93" s="80" t="s">
        <v>2147</v>
      </c>
      <c r="U93" s="97">
        <v>15</v>
      </c>
    </row>
    <row r="94" spans="1:21" ht="43.5" customHeight="1">
      <c r="A94" s="69"/>
      <c r="B94" s="34"/>
      <c r="C94" s="34"/>
      <c r="D94" s="34"/>
      <c r="E94" s="34"/>
      <c r="F94" s="34"/>
      <c r="G94" s="34"/>
      <c r="H94" s="53"/>
      <c r="I94" s="18"/>
      <c r="J94" s="18"/>
      <c r="K94" s="18"/>
      <c r="L94" s="47"/>
      <c r="M94" s="47"/>
      <c r="N94" s="47"/>
      <c r="P94" s="48"/>
      <c r="S94" s="18"/>
      <c r="T94" s="18"/>
      <c r="U94" s="70"/>
    </row>
    <row r="95" spans="1:21" ht="11.25" customHeight="1">
      <c r="A95" s="69"/>
      <c r="B95" s="32"/>
      <c r="C95" s="32"/>
      <c r="D95" s="33"/>
      <c r="E95" s="33"/>
      <c r="F95" s="33"/>
      <c r="G95" s="33"/>
      <c r="H95" s="53"/>
      <c r="I95" s="18"/>
      <c r="J95" s="18"/>
      <c r="K95" s="18"/>
      <c r="L95" s="47"/>
      <c r="M95" s="47"/>
      <c r="N95" s="47"/>
      <c r="S95" s="18"/>
      <c r="T95" s="18"/>
      <c r="U95" s="70"/>
    </row>
    <row r="96" spans="1:21" ht="87.75" customHeight="1">
      <c r="A96" s="69"/>
      <c r="B96" s="58" t="s">
        <v>2145</v>
      </c>
      <c r="C96" s="18"/>
      <c r="D96" s="35"/>
      <c r="E96" s="35"/>
      <c r="F96" s="35"/>
      <c r="G96" s="35"/>
      <c r="H96" s="59"/>
      <c r="I96" s="18"/>
      <c r="J96" s="18"/>
      <c r="K96" s="18"/>
      <c r="L96" s="47"/>
      <c r="M96" s="47"/>
      <c r="N96" s="47"/>
      <c r="S96" s="18"/>
      <c r="T96" s="18"/>
      <c r="U96" s="70"/>
    </row>
    <row r="97" spans="1:21" s="19" customFormat="1" ht="250.5" customHeight="1">
      <c r="A97" s="71"/>
      <c r="B97" s="61" t="s">
        <v>584</v>
      </c>
      <c r="C97" s="49"/>
      <c r="D97" s="60"/>
      <c r="E97" s="60"/>
      <c r="F97" s="60"/>
      <c r="G97" s="60"/>
      <c r="H97" s="54"/>
      <c r="I97" s="49"/>
      <c r="J97" s="49"/>
      <c r="K97" s="49"/>
      <c r="L97" s="52"/>
      <c r="M97" s="52"/>
      <c r="N97" s="52"/>
      <c r="O97" s="49"/>
      <c r="P97" s="49"/>
      <c r="Q97" s="51"/>
      <c r="R97" s="49"/>
      <c r="S97" s="49"/>
      <c r="T97" s="49"/>
      <c r="U97" s="72"/>
    </row>
    <row r="98" spans="1:21" ht="139.5" customHeight="1">
      <c r="A98" s="69"/>
      <c r="B98" s="82" t="s">
        <v>2453</v>
      </c>
      <c r="C98" s="94" t="s">
        <v>2153</v>
      </c>
      <c r="D98" s="95"/>
      <c r="E98" s="95"/>
      <c r="F98" s="95"/>
      <c r="G98" s="95"/>
      <c r="H98" s="83"/>
      <c r="I98" s="84"/>
      <c r="J98" s="84"/>
      <c r="K98" s="84"/>
      <c r="L98" s="84"/>
      <c r="M98" s="84"/>
      <c r="N98" s="84"/>
      <c r="O98" s="84"/>
      <c r="P98" s="85"/>
      <c r="Q98" s="84"/>
      <c r="R98" s="84"/>
      <c r="S98" s="84"/>
      <c r="T98" s="84"/>
      <c r="U98" s="86"/>
    </row>
    <row r="99" spans="1:21" ht="163.5" customHeight="1">
      <c r="A99" s="69"/>
      <c r="B99" s="82" t="s">
        <v>2402</v>
      </c>
      <c r="C99" s="92">
        <v>44287</v>
      </c>
      <c r="D99" s="93"/>
      <c r="E99" s="93"/>
      <c r="F99" s="93"/>
      <c r="G99" s="93"/>
      <c r="H99" s="87"/>
      <c r="I99" s="84"/>
      <c r="J99" s="84"/>
      <c r="K99" s="84"/>
      <c r="L99" s="84"/>
      <c r="M99" s="84"/>
      <c r="N99" s="84"/>
      <c r="O99" s="84"/>
      <c r="P99" s="84"/>
      <c r="Q99" s="88"/>
      <c r="R99" s="84"/>
      <c r="S99" s="84"/>
      <c r="T99" s="84"/>
      <c r="U99" s="86"/>
    </row>
    <row r="100" spans="1:21" ht="117.75" customHeight="1">
      <c r="A100" s="69"/>
      <c r="B100" s="82" t="s">
        <v>498</v>
      </c>
      <c r="C100" s="96" t="s">
        <v>585</v>
      </c>
      <c r="D100" s="31"/>
      <c r="E100" s="31"/>
      <c r="F100" s="31"/>
      <c r="G100" s="31"/>
      <c r="H100" s="89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6"/>
    </row>
    <row r="101" spans="1:21" ht="201.75" customHeight="1">
      <c r="A101" s="69"/>
      <c r="B101" s="82" t="s">
        <v>499</v>
      </c>
      <c r="C101" s="90">
        <v>500</v>
      </c>
      <c r="D101" s="91"/>
      <c r="E101" s="91"/>
      <c r="F101" s="91"/>
      <c r="G101" s="91"/>
      <c r="H101" s="89"/>
      <c r="I101" s="84"/>
      <c r="J101" s="84"/>
      <c r="K101" s="84"/>
      <c r="L101" s="84"/>
      <c r="M101" s="84"/>
      <c r="N101" s="84"/>
      <c r="O101" s="84"/>
      <c r="P101" s="85"/>
      <c r="Q101" s="84"/>
      <c r="R101" s="84"/>
      <c r="S101" s="84"/>
      <c r="T101" s="84"/>
      <c r="U101" s="86"/>
    </row>
    <row r="102" spans="1:21" ht="35.25">
      <c r="A102" s="73"/>
      <c r="B102" s="18"/>
      <c r="C102" s="18"/>
      <c r="D102" s="37" t="s">
        <v>2148</v>
      </c>
      <c r="E102" s="55"/>
      <c r="F102" s="56"/>
      <c r="G102" s="17"/>
      <c r="H102" s="18"/>
      <c r="I102" s="18"/>
      <c r="J102" s="18"/>
      <c r="K102" s="18"/>
      <c r="L102" s="47"/>
      <c r="M102" s="47"/>
      <c r="N102" s="47"/>
      <c r="S102" s="18"/>
      <c r="T102" s="18"/>
      <c r="U102" s="70"/>
    </row>
    <row r="103" spans="1:21" ht="9" customHeight="1">
      <c r="A103" s="73"/>
      <c r="B103" s="18"/>
      <c r="C103" s="18"/>
      <c r="D103" s="18"/>
      <c r="E103" s="55"/>
      <c r="F103" s="56"/>
      <c r="G103" s="17"/>
      <c r="H103" s="18"/>
      <c r="I103" s="18"/>
      <c r="J103" s="18"/>
      <c r="K103" s="18"/>
      <c r="L103" s="47"/>
      <c r="M103" s="47"/>
      <c r="N103" s="47"/>
      <c r="S103" s="18"/>
      <c r="T103" s="18"/>
      <c r="U103" s="70"/>
    </row>
    <row r="104" spans="1:21" s="18" customFormat="1">
      <c r="A104" s="73"/>
      <c r="E104" s="55"/>
      <c r="F104" s="56"/>
      <c r="G104" s="17"/>
      <c r="U104" s="70"/>
    </row>
    <row r="105" spans="1:21" ht="9" customHeight="1" thickBot="1">
      <c r="A105" s="74"/>
      <c r="B105" s="75"/>
      <c r="C105" s="75"/>
      <c r="D105" s="75"/>
      <c r="E105" s="76"/>
      <c r="F105" s="77"/>
      <c r="G105" s="78"/>
      <c r="H105" s="75"/>
      <c r="I105" s="75"/>
      <c r="J105" s="75"/>
      <c r="K105" s="75"/>
      <c r="L105" s="81"/>
      <c r="M105" s="81"/>
      <c r="N105" s="81"/>
      <c r="O105" s="75"/>
      <c r="P105" s="75"/>
      <c r="Q105" s="75"/>
      <c r="R105" s="75"/>
      <c r="S105" s="75"/>
      <c r="T105" s="75"/>
      <c r="U105" s="79"/>
    </row>
    <row r="106" spans="1:21" ht="9" customHeight="1">
      <c r="A106" s="62"/>
      <c r="B106" s="63"/>
      <c r="C106" s="63"/>
      <c r="D106" s="63"/>
      <c r="E106" s="64"/>
      <c r="F106" s="65"/>
      <c r="G106" s="66"/>
      <c r="H106" s="63"/>
      <c r="I106" s="63"/>
      <c r="J106" s="63"/>
      <c r="K106" s="63"/>
      <c r="L106" s="67"/>
      <c r="M106" s="67"/>
      <c r="N106" s="67"/>
      <c r="O106" s="63"/>
      <c r="P106" s="63"/>
      <c r="Q106" s="63"/>
      <c r="R106" s="63"/>
      <c r="S106" s="63"/>
      <c r="T106" s="63"/>
      <c r="U106" s="68"/>
    </row>
    <row r="107" spans="1:21">
      <c r="A107" s="69"/>
      <c r="B107" s="53"/>
      <c r="C107" s="53"/>
      <c r="D107" s="18"/>
      <c r="E107" s="55"/>
      <c r="F107" s="56"/>
      <c r="G107" s="17"/>
      <c r="H107" s="53"/>
      <c r="I107" s="18"/>
      <c r="J107" s="18"/>
      <c r="K107" s="18"/>
      <c r="L107" s="47"/>
      <c r="M107" s="47"/>
      <c r="N107" s="47"/>
      <c r="S107" s="18"/>
      <c r="T107" s="18"/>
      <c r="U107" s="70"/>
    </row>
    <row r="108" spans="1:21" ht="48" customHeight="1">
      <c r="A108" s="69"/>
      <c r="B108" s="18"/>
      <c r="C108" s="18"/>
      <c r="D108" s="18"/>
      <c r="E108" s="36"/>
      <c r="F108" s="45"/>
      <c r="G108" s="46"/>
      <c r="H108" s="57"/>
      <c r="I108" s="18"/>
      <c r="J108" s="18"/>
      <c r="K108" s="18"/>
      <c r="L108" s="47"/>
      <c r="M108" s="47"/>
      <c r="N108" s="47"/>
      <c r="Q108" s="51"/>
      <c r="S108" s="52">
        <v>8</v>
      </c>
      <c r="T108" s="80" t="s">
        <v>2147</v>
      </c>
      <c r="U108" s="97">
        <v>15</v>
      </c>
    </row>
    <row r="109" spans="1:21" ht="43.5" customHeight="1">
      <c r="A109" s="69"/>
      <c r="B109" s="34"/>
      <c r="C109" s="34"/>
      <c r="D109" s="34"/>
      <c r="E109" s="34"/>
      <c r="F109" s="34"/>
      <c r="G109" s="34"/>
      <c r="H109" s="53"/>
      <c r="I109" s="18"/>
      <c r="J109" s="18"/>
      <c r="K109" s="18"/>
      <c r="L109" s="47"/>
      <c r="M109" s="47"/>
      <c r="N109" s="47"/>
      <c r="P109" s="48"/>
      <c r="S109" s="18"/>
      <c r="T109" s="18"/>
      <c r="U109" s="70"/>
    </row>
    <row r="110" spans="1:21" ht="11.25" customHeight="1">
      <c r="A110" s="69"/>
      <c r="B110" s="32"/>
      <c r="C110" s="32"/>
      <c r="D110" s="33"/>
      <c r="E110" s="33"/>
      <c r="F110" s="33"/>
      <c r="G110" s="33"/>
      <c r="H110" s="53"/>
      <c r="I110" s="18"/>
      <c r="J110" s="18"/>
      <c r="K110" s="18"/>
      <c r="L110" s="47"/>
      <c r="M110" s="47"/>
      <c r="N110" s="47"/>
      <c r="S110" s="18"/>
      <c r="T110" s="18"/>
      <c r="U110" s="70"/>
    </row>
    <row r="111" spans="1:21" ht="87.75" customHeight="1">
      <c r="A111" s="69"/>
      <c r="B111" s="58" t="s">
        <v>2145</v>
      </c>
      <c r="C111" s="18"/>
      <c r="D111" s="35"/>
      <c r="E111" s="35"/>
      <c r="F111" s="35"/>
      <c r="G111" s="35"/>
      <c r="H111" s="59"/>
      <c r="I111" s="18"/>
      <c r="J111" s="18"/>
      <c r="K111" s="18"/>
      <c r="L111" s="47"/>
      <c r="M111" s="47"/>
      <c r="N111" s="47"/>
      <c r="S111" s="18"/>
      <c r="T111" s="18"/>
      <c r="U111" s="70"/>
    </row>
    <row r="112" spans="1:21" s="19" customFormat="1" ht="250.5" customHeight="1">
      <c r="A112" s="71"/>
      <c r="B112" s="61" t="s">
        <v>584</v>
      </c>
      <c r="C112" s="49"/>
      <c r="D112" s="60"/>
      <c r="E112" s="60"/>
      <c r="F112" s="60"/>
      <c r="G112" s="60"/>
      <c r="H112" s="54"/>
      <c r="I112" s="49"/>
      <c r="J112" s="49"/>
      <c r="K112" s="49"/>
      <c r="L112" s="52"/>
      <c r="M112" s="52"/>
      <c r="N112" s="52"/>
      <c r="O112" s="49"/>
      <c r="P112" s="49"/>
      <c r="Q112" s="51"/>
      <c r="R112" s="49"/>
      <c r="S112" s="49"/>
      <c r="T112" s="49"/>
      <c r="U112" s="72"/>
    </row>
    <row r="113" spans="1:21" ht="139.5" customHeight="1">
      <c r="A113" s="69"/>
      <c r="B113" s="82" t="s">
        <v>2453</v>
      </c>
      <c r="C113" s="94" t="s">
        <v>2153</v>
      </c>
      <c r="D113" s="95"/>
      <c r="E113" s="95"/>
      <c r="F113" s="95"/>
      <c r="G113" s="95"/>
      <c r="H113" s="83"/>
      <c r="I113" s="84"/>
      <c r="J113" s="84"/>
      <c r="K113" s="84"/>
      <c r="L113" s="84"/>
      <c r="M113" s="84"/>
      <c r="N113" s="84"/>
      <c r="O113" s="84"/>
      <c r="P113" s="85"/>
      <c r="Q113" s="84"/>
      <c r="R113" s="84"/>
      <c r="S113" s="84"/>
      <c r="T113" s="84"/>
      <c r="U113" s="86"/>
    </row>
    <row r="114" spans="1:21" ht="163.5" customHeight="1">
      <c r="A114" s="69"/>
      <c r="B114" s="82" t="s">
        <v>2402</v>
      </c>
      <c r="C114" s="92">
        <v>44287</v>
      </c>
      <c r="D114" s="93"/>
      <c r="E114" s="93"/>
      <c r="F114" s="93"/>
      <c r="G114" s="93"/>
      <c r="H114" s="87"/>
      <c r="I114" s="84"/>
      <c r="J114" s="84"/>
      <c r="K114" s="84"/>
      <c r="L114" s="84"/>
      <c r="M114" s="84"/>
      <c r="N114" s="84"/>
      <c r="O114" s="84"/>
      <c r="P114" s="84"/>
      <c r="Q114" s="88"/>
      <c r="R114" s="84"/>
      <c r="S114" s="84"/>
      <c r="T114" s="84"/>
      <c r="U114" s="86"/>
    </row>
    <row r="115" spans="1:21" ht="117.75" customHeight="1">
      <c r="A115" s="69"/>
      <c r="B115" s="82" t="s">
        <v>498</v>
      </c>
      <c r="C115" s="96" t="s">
        <v>585</v>
      </c>
      <c r="D115" s="31"/>
      <c r="E115" s="31"/>
      <c r="F115" s="31"/>
      <c r="G115" s="31"/>
      <c r="H115" s="89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6"/>
    </row>
    <row r="116" spans="1:21" ht="201.75" customHeight="1">
      <c r="A116" s="69"/>
      <c r="B116" s="82" t="s">
        <v>499</v>
      </c>
      <c r="C116" s="90">
        <v>500</v>
      </c>
      <c r="D116" s="91"/>
      <c r="E116" s="91"/>
      <c r="F116" s="91"/>
      <c r="G116" s="91"/>
      <c r="H116" s="89"/>
      <c r="I116" s="84"/>
      <c r="J116" s="84"/>
      <c r="K116" s="84"/>
      <c r="L116" s="84"/>
      <c r="M116" s="84"/>
      <c r="N116" s="84"/>
      <c r="O116" s="84"/>
      <c r="P116" s="85"/>
      <c r="Q116" s="84"/>
      <c r="R116" s="84"/>
      <c r="S116" s="84"/>
      <c r="T116" s="84"/>
      <c r="U116" s="86"/>
    </row>
    <row r="117" spans="1:21" ht="35.25">
      <c r="A117" s="73"/>
      <c r="B117" s="18"/>
      <c r="C117" s="18"/>
      <c r="D117" s="37" t="s">
        <v>2148</v>
      </c>
      <c r="E117" s="55"/>
      <c r="F117" s="56"/>
      <c r="G117" s="17"/>
      <c r="H117" s="18"/>
      <c r="I117" s="18"/>
      <c r="J117" s="18"/>
      <c r="K117" s="18"/>
      <c r="L117" s="47"/>
      <c r="M117" s="47"/>
      <c r="N117" s="47"/>
      <c r="S117" s="18"/>
      <c r="T117" s="18"/>
      <c r="U117" s="70"/>
    </row>
    <row r="118" spans="1:21" ht="9" customHeight="1">
      <c r="A118" s="73"/>
      <c r="B118" s="18"/>
      <c r="C118" s="18"/>
      <c r="D118" s="18"/>
      <c r="E118" s="55"/>
      <c r="F118" s="56"/>
      <c r="G118" s="17"/>
      <c r="H118" s="18"/>
      <c r="I118" s="18"/>
      <c r="J118" s="18"/>
      <c r="K118" s="18"/>
      <c r="L118" s="47"/>
      <c r="M118" s="47"/>
      <c r="N118" s="47"/>
      <c r="S118" s="18"/>
      <c r="T118" s="18"/>
      <c r="U118" s="70"/>
    </row>
    <row r="119" spans="1:21" s="18" customFormat="1">
      <c r="A119" s="73"/>
      <c r="E119" s="55"/>
      <c r="F119" s="56"/>
      <c r="G119" s="17"/>
      <c r="U119" s="70"/>
    </row>
    <row r="120" spans="1:21" ht="9" customHeight="1" thickBot="1">
      <c r="A120" s="74"/>
      <c r="B120" s="75"/>
      <c r="C120" s="75"/>
      <c r="D120" s="75"/>
      <c r="E120" s="76"/>
      <c r="F120" s="77"/>
      <c r="G120" s="78"/>
      <c r="H120" s="75"/>
      <c r="I120" s="75"/>
      <c r="J120" s="75"/>
      <c r="K120" s="75"/>
      <c r="L120" s="81"/>
      <c r="M120" s="81"/>
      <c r="N120" s="81"/>
      <c r="O120" s="75"/>
      <c r="P120" s="75"/>
      <c r="Q120" s="75"/>
      <c r="R120" s="75"/>
      <c r="S120" s="75"/>
      <c r="T120" s="75"/>
      <c r="U120" s="79"/>
    </row>
    <row r="121" spans="1:21" ht="9" customHeight="1">
      <c r="A121" s="62"/>
      <c r="B121" s="63"/>
      <c r="C121" s="63"/>
      <c r="D121" s="63"/>
      <c r="E121" s="64"/>
      <c r="F121" s="65"/>
      <c r="G121" s="66"/>
      <c r="H121" s="63"/>
      <c r="I121" s="63"/>
      <c r="J121" s="63"/>
      <c r="K121" s="63"/>
      <c r="L121" s="67"/>
      <c r="M121" s="67"/>
      <c r="N121" s="67"/>
      <c r="O121" s="63"/>
      <c r="P121" s="63"/>
      <c r="Q121" s="63"/>
      <c r="R121" s="63"/>
      <c r="S121" s="63"/>
      <c r="T121" s="63"/>
      <c r="U121" s="68"/>
    </row>
    <row r="122" spans="1:21">
      <c r="A122" s="69"/>
      <c r="B122" s="53"/>
      <c r="C122" s="53"/>
      <c r="D122" s="18"/>
      <c r="E122" s="55"/>
      <c r="F122" s="56"/>
      <c r="G122" s="17"/>
      <c r="H122" s="53"/>
      <c r="I122" s="18"/>
      <c r="J122" s="18"/>
      <c r="K122" s="18"/>
      <c r="L122" s="47"/>
      <c r="M122" s="47"/>
      <c r="N122" s="47"/>
      <c r="S122" s="18"/>
      <c r="T122" s="18"/>
      <c r="U122" s="70"/>
    </row>
    <row r="123" spans="1:21" ht="48" customHeight="1">
      <c r="A123" s="69"/>
      <c r="B123" s="18"/>
      <c r="C123" s="18"/>
      <c r="D123" s="18"/>
      <c r="E123" s="36"/>
      <c r="F123" s="45"/>
      <c r="G123" s="46"/>
      <c r="H123" s="57"/>
      <c r="I123" s="18"/>
      <c r="J123" s="18"/>
      <c r="K123" s="18"/>
      <c r="L123" s="47"/>
      <c r="M123" s="47"/>
      <c r="N123" s="47"/>
      <c r="Q123" s="51"/>
      <c r="S123" s="52">
        <v>9</v>
      </c>
      <c r="T123" s="80" t="s">
        <v>2147</v>
      </c>
      <c r="U123" s="97">
        <v>15</v>
      </c>
    </row>
    <row r="124" spans="1:21" ht="43.5" customHeight="1">
      <c r="A124" s="69"/>
      <c r="B124" s="34"/>
      <c r="C124" s="34"/>
      <c r="D124" s="34"/>
      <c r="E124" s="34"/>
      <c r="F124" s="34"/>
      <c r="G124" s="34"/>
      <c r="H124" s="53"/>
      <c r="I124" s="18"/>
      <c r="J124" s="18"/>
      <c r="K124" s="18"/>
      <c r="L124" s="47"/>
      <c r="M124" s="47"/>
      <c r="N124" s="47"/>
      <c r="P124" s="48"/>
      <c r="S124" s="18"/>
      <c r="T124" s="18"/>
      <c r="U124" s="70"/>
    </row>
    <row r="125" spans="1:21" ht="11.25" customHeight="1">
      <c r="A125" s="69"/>
      <c r="B125" s="32"/>
      <c r="C125" s="32"/>
      <c r="D125" s="33"/>
      <c r="E125" s="33"/>
      <c r="F125" s="33"/>
      <c r="G125" s="33"/>
      <c r="H125" s="53"/>
      <c r="I125" s="18"/>
      <c r="J125" s="18"/>
      <c r="K125" s="18"/>
      <c r="L125" s="47"/>
      <c r="M125" s="47"/>
      <c r="N125" s="47"/>
      <c r="S125" s="18"/>
      <c r="T125" s="18"/>
      <c r="U125" s="70"/>
    </row>
    <row r="126" spans="1:21" ht="87.75" customHeight="1">
      <c r="A126" s="69"/>
      <c r="B126" s="58" t="s">
        <v>2145</v>
      </c>
      <c r="C126" s="18"/>
      <c r="D126" s="35"/>
      <c r="E126" s="35"/>
      <c r="F126" s="35"/>
      <c r="G126" s="35"/>
      <c r="H126" s="59"/>
      <c r="I126" s="18"/>
      <c r="J126" s="18"/>
      <c r="K126" s="18"/>
      <c r="L126" s="47"/>
      <c r="M126" s="47"/>
      <c r="N126" s="47"/>
      <c r="S126" s="18"/>
      <c r="T126" s="18"/>
      <c r="U126" s="70"/>
    </row>
    <row r="127" spans="1:21" s="19" customFormat="1" ht="250.5" customHeight="1">
      <c r="A127" s="71"/>
      <c r="B127" s="61" t="s">
        <v>584</v>
      </c>
      <c r="C127" s="49"/>
      <c r="D127" s="60"/>
      <c r="E127" s="60"/>
      <c r="F127" s="60"/>
      <c r="G127" s="60"/>
      <c r="H127" s="54"/>
      <c r="I127" s="49"/>
      <c r="J127" s="49"/>
      <c r="K127" s="49"/>
      <c r="L127" s="52"/>
      <c r="M127" s="52"/>
      <c r="N127" s="52"/>
      <c r="O127" s="49"/>
      <c r="P127" s="49"/>
      <c r="Q127" s="51"/>
      <c r="R127" s="49"/>
      <c r="S127" s="49"/>
      <c r="T127" s="49"/>
      <c r="U127" s="72"/>
    </row>
    <row r="128" spans="1:21" ht="139.5" customHeight="1">
      <c r="A128" s="69"/>
      <c r="B128" s="82" t="s">
        <v>2453</v>
      </c>
      <c r="C128" s="94" t="s">
        <v>2153</v>
      </c>
      <c r="D128" s="95"/>
      <c r="E128" s="95"/>
      <c r="F128" s="95"/>
      <c r="G128" s="95"/>
      <c r="H128" s="83"/>
      <c r="I128" s="84"/>
      <c r="J128" s="84"/>
      <c r="K128" s="84"/>
      <c r="L128" s="84"/>
      <c r="M128" s="84"/>
      <c r="N128" s="84"/>
      <c r="O128" s="84"/>
      <c r="P128" s="85"/>
      <c r="Q128" s="84"/>
      <c r="R128" s="84"/>
      <c r="S128" s="84"/>
      <c r="T128" s="84"/>
      <c r="U128" s="86"/>
    </row>
    <row r="129" spans="1:21" ht="163.5" customHeight="1">
      <c r="A129" s="69"/>
      <c r="B129" s="82" t="s">
        <v>2402</v>
      </c>
      <c r="C129" s="92">
        <v>44287</v>
      </c>
      <c r="D129" s="93"/>
      <c r="E129" s="93"/>
      <c r="F129" s="93"/>
      <c r="G129" s="93"/>
      <c r="H129" s="87"/>
      <c r="I129" s="84"/>
      <c r="J129" s="84"/>
      <c r="K129" s="84"/>
      <c r="L129" s="84"/>
      <c r="M129" s="84"/>
      <c r="N129" s="84"/>
      <c r="O129" s="84"/>
      <c r="P129" s="84"/>
      <c r="Q129" s="88"/>
      <c r="R129" s="84"/>
      <c r="S129" s="84"/>
      <c r="T129" s="84"/>
      <c r="U129" s="86"/>
    </row>
    <row r="130" spans="1:21" ht="117.75" customHeight="1">
      <c r="A130" s="69"/>
      <c r="B130" s="82" t="s">
        <v>498</v>
      </c>
      <c r="C130" s="96" t="s">
        <v>585</v>
      </c>
      <c r="D130" s="31"/>
      <c r="E130" s="31"/>
      <c r="F130" s="31"/>
      <c r="G130" s="31"/>
      <c r="H130" s="89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6"/>
    </row>
    <row r="131" spans="1:21" ht="201.75" customHeight="1">
      <c r="A131" s="69"/>
      <c r="B131" s="82" t="s">
        <v>499</v>
      </c>
      <c r="C131" s="90">
        <v>500</v>
      </c>
      <c r="D131" s="91"/>
      <c r="E131" s="91"/>
      <c r="F131" s="91"/>
      <c r="G131" s="91"/>
      <c r="H131" s="89"/>
      <c r="I131" s="84"/>
      <c r="J131" s="84"/>
      <c r="K131" s="84"/>
      <c r="L131" s="84"/>
      <c r="M131" s="84"/>
      <c r="N131" s="84"/>
      <c r="O131" s="84"/>
      <c r="P131" s="85"/>
      <c r="Q131" s="84"/>
      <c r="R131" s="84"/>
      <c r="S131" s="84"/>
      <c r="T131" s="84"/>
      <c r="U131" s="86"/>
    </row>
    <row r="132" spans="1:21" ht="35.25">
      <c r="A132" s="73"/>
      <c r="B132" s="18"/>
      <c r="C132" s="18"/>
      <c r="D132" s="37" t="s">
        <v>2148</v>
      </c>
      <c r="E132" s="55"/>
      <c r="F132" s="56"/>
      <c r="G132" s="17"/>
      <c r="H132" s="18"/>
      <c r="I132" s="18"/>
      <c r="J132" s="18"/>
      <c r="K132" s="18"/>
      <c r="L132" s="47"/>
      <c r="M132" s="47"/>
      <c r="N132" s="47"/>
      <c r="S132" s="18"/>
      <c r="T132" s="18"/>
      <c r="U132" s="70"/>
    </row>
    <row r="133" spans="1:21" ht="9" customHeight="1">
      <c r="A133" s="73"/>
      <c r="B133" s="18"/>
      <c r="C133" s="18"/>
      <c r="D133" s="18"/>
      <c r="E133" s="55"/>
      <c r="F133" s="56"/>
      <c r="G133" s="17"/>
      <c r="H133" s="18"/>
      <c r="I133" s="18"/>
      <c r="J133" s="18"/>
      <c r="K133" s="18"/>
      <c r="L133" s="47"/>
      <c r="M133" s="47"/>
      <c r="N133" s="47"/>
      <c r="S133" s="18"/>
      <c r="T133" s="18"/>
      <c r="U133" s="70"/>
    </row>
    <row r="134" spans="1:21" s="18" customFormat="1">
      <c r="A134" s="73"/>
      <c r="E134" s="55"/>
      <c r="F134" s="56"/>
      <c r="G134" s="17"/>
      <c r="U134" s="70"/>
    </row>
    <row r="135" spans="1:21" ht="9" customHeight="1" thickBot="1">
      <c r="A135" s="74"/>
      <c r="B135" s="75"/>
      <c r="C135" s="75"/>
      <c r="D135" s="75"/>
      <c r="E135" s="76"/>
      <c r="F135" s="77"/>
      <c r="G135" s="78"/>
      <c r="H135" s="75"/>
      <c r="I135" s="75"/>
      <c r="J135" s="75"/>
      <c r="K135" s="75"/>
      <c r="L135" s="81"/>
      <c r="M135" s="81"/>
      <c r="N135" s="81"/>
      <c r="O135" s="75"/>
      <c r="P135" s="75"/>
      <c r="Q135" s="75"/>
      <c r="R135" s="75"/>
      <c r="S135" s="75"/>
      <c r="T135" s="75"/>
      <c r="U135" s="79"/>
    </row>
    <row r="136" spans="1:21" ht="9" customHeight="1">
      <c r="A136" s="62"/>
      <c r="B136" s="63"/>
      <c r="C136" s="63"/>
      <c r="D136" s="63"/>
      <c r="E136" s="64"/>
      <c r="F136" s="65"/>
      <c r="G136" s="66"/>
      <c r="H136" s="63"/>
      <c r="I136" s="63"/>
      <c r="J136" s="63"/>
      <c r="K136" s="63"/>
      <c r="L136" s="67"/>
      <c r="M136" s="67"/>
      <c r="N136" s="67"/>
      <c r="O136" s="63"/>
      <c r="P136" s="63"/>
      <c r="Q136" s="63"/>
      <c r="R136" s="63"/>
      <c r="S136" s="63"/>
      <c r="T136" s="63"/>
      <c r="U136" s="68"/>
    </row>
    <row r="137" spans="1:21">
      <c r="A137" s="69"/>
      <c r="B137" s="53"/>
      <c r="C137" s="53"/>
      <c r="D137" s="18"/>
      <c r="E137" s="55"/>
      <c r="F137" s="56"/>
      <c r="G137" s="17"/>
      <c r="H137" s="53"/>
      <c r="I137" s="18"/>
      <c r="J137" s="18"/>
      <c r="K137" s="18"/>
      <c r="L137" s="47"/>
      <c r="M137" s="47"/>
      <c r="N137" s="47"/>
      <c r="S137" s="18"/>
      <c r="T137" s="18"/>
      <c r="U137" s="70"/>
    </row>
    <row r="138" spans="1:21" ht="48" customHeight="1">
      <c r="A138" s="69"/>
      <c r="B138" s="18"/>
      <c r="C138" s="18"/>
      <c r="D138" s="18"/>
      <c r="E138" s="36"/>
      <c r="F138" s="45"/>
      <c r="G138" s="46"/>
      <c r="H138" s="57"/>
      <c r="I138" s="18"/>
      <c r="J138" s="18"/>
      <c r="K138" s="18"/>
      <c r="L138" s="47"/>
      <c r="M138" s="47"/>
      <c r="N138" s="47"/>
      <c r="Q138" s="51"/>
      <c r="S138" s="52">
        <v>10</v>
      </c>
      <c r="T138" s="80" t="s">
        <v>2147</v>
      </c>
      <c r="U138" s="97">
        <v>15</v>
      </c>
    </row>
    <row r="139" spans="1:21" ht="43.5" customHeight="1">
      <c r="A139" s="69"/>
      <c r="B139" s="34"/>
      <c r="C139" s="34"/>
      <c r="D139" s="34"/>
      <c r="E139" s="34"/>
      <c r="F139" s="34"/>
      <c r="G139" s="34"/>
      <c r="H139" s="53"/>
      <c r="I139" s="18"/>
      <c r="J139" s="18"/>
      <c r="K139" s="18"/>
      <c r="L139" s="47"/>
      <c r="M139" s="47"/>
      <c r="N139" s="47"/>
      <c r="P139" s="48"/>
      <c r="S139" s="18"/>
      <c r="T139" s="18"/>
      <c r="U139" s="70"/>
    </row>
    <row r="140" spans="1:21" ht="11.25" customHeight="1">
      <c r="A140" s="69"/>
      <c r="B140" s="32"/>
      <c r="C140" s="32"/>
      <c r="D140" s="33"/>
      <c r="E140" s="33"/>
      <c r="F140" s="33"/>
      <c r="G140" s="33"/>
      <c r="H140" s="53"/>
      <c r="I140" s="18"/>
      <c r="J140" s="18"/>
      <c r="K140" s="18"/>
      <c r="L140" s="47"/>
      <c r="M140" s="47"/>
      <c r="N140" s="47"/>
      <c r="S140" s="18"/>
      <c r="T140" s="18"/>
      <c r="U140" s="70"/>
    </row>
    <row r="141" spans="1:21" ht="87.75" customHeight="1">
      <c r="A141" s="69"/>
      <c r="B141" s="58" t="s">
        <v>2145</v>
      </c>
      <c r="C141" s="18"/>
      <c r="D141" s="35"/>
      <c r="E141" s="35"/>
      <c r="F141" s="35"/>
      <c r="G141" s="35"/>
      <c r="H141" s="59"/>
      <c r="I141" s="18"/>
      <c r="J141" s="18"/>
      <c r="K141" s="18"/>
      <c r="L141" s="47"/>
      <c r="M141" s="47"/>
      <c r="N141" s="47"/>
      <c r="S141" s="18"/>
      <c r="T141" s="18"/>
      <c r="U141" s="70"/>
    </row>
    <row r="142" spans="1:21" s="19" customFormat="1" ht="250.5" customHeight="1">
      <c r="A142" s="71"/>
      <c r="B142" s="61" t="s">
        <v>584</v>
      </c>
      <c r="C142" s="49"/>
      <c r="D142" s="60"/>
      <c r="E142" s="60"/>
      <c r="F142" s="60"/>
      <c r="G142" s="60"/>
      <c r="H142" s="54"/>
      <c r="I142" s="49"/>
      <c r="J142" s="49"/>
      <c r="K142" s="49"/>
      <c r="L142" s="52"/>
      <c r="M142" s="52"/>
      <c r="N142" s="52"/>
      <c r="O142" s="49"/>
      <c r="P142" s="49"/>
      <c r="Q142" s="51"/>
      <c r="R142" s="49"/>
      <c r="S142" s="49"/>
      <c r="T142" s="49"/>
      <c r="U142" s="72"/>
    </row>
    <row r="143" spans="1:21" ht="139.5" customHeight="1">
      <c r="A143" s="69"/>
      <c r="B143" s="82" t="s">
        <v>2453</v>
      </c>
      <c r="C143" s="94" t="s">
        <v>2153</v>
      </c>
      <c r="D143" s="95"/>
      <c r="E143" s="95"/>
      <c r="F143" s="95"/>
      <c r="G143" s="95"/>
      <c r="H143" s="83"/>
      <c r="I143" s="84"/>
      <c r="J143" s="84"/>
      <c r="K143" s="84"/>
      <c r="L143" s="84"/>
      <c r="M143" s="84"/>
      <c r="N143" s="84"/>
      <c r="O143" s="84"/>
      <c r="P143" s="85"/>
      <c r="Q143" s="84"/>
      <c r="R143" s="84"/>
      <c r="S143" s="84"/>
      <c r="T143" s="84"/>
      <c r="U143" s="86"/>
    </row>
    <row r="144" spans="1:21" ht="163.5" customHeight="1">
      <c r="A144" s="69"/>
      <c r="B144" s="82" t="s">
        <v>2402</v>
      </c>
      <c r="C144" s="92">
        <v>44287</v>
      </c>
      <c r="D144" s="93"/>
      <c r="E144" s="93"/>
      <c r="F144" s="93"/>
      <c r="G144" s="93"/>
      <c r="H144" s="87"/>
      <c r="I144" s="84"/>
      <c r="J144" s="84"/>
      <c r="K144" s="84"/>
      <c r="L144" s="84"/>
      <c r="M144" s="84"/>
      <c r="N144" s="84"/>
      <c r="O144" s="84"/>
      <c r="P144" s="84"/>
      <c r="Q144" s="88"/>
      <c r="R144" s="84"/>
      <c r="S144" s="84"/>
      <c r="T144" s="84"/>
      <c r="U144" s="86"/>
    </row>
    <row r="145" spans="1:21" ht="117.75" customHeight="1">
      <c r="A145" s="69"/>
      <c r="B145" s="82" t="s">
        <v>498</v>
      </c>
      <c r="C145" s="96" t="s">
        <v>585</v>
      </c>
      <c r="D145" s="31"/>
      <c r="E145" s="31"/>
      <c r="F145" s="31"/>
      <c r="G145" s="31"/>
      <c r="H145" s="89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6"/>
    </row>
    <row r="146" spans="1:21" ht="201.75" customHeight="1">
      <c r="A146" s="69"/>
      <c r="B146" s="82" t="s">
        <v>499</v>
      </c>
      <c r="C146" s="90">
        <v>500</v>
      </c>
      <c r="D146" s="91"/>
      <c r="E146" s="91"/>
      <c r="F146" s="91"/>
      <c r="G146" s="91"/>
      <c r="H146" s="89"/>
      <c r="I146" s="84"/>
      <c r="J146" s="84"/>
      <c r="K146" s="84"/>
      <c r="L146" s="84"/>
      <c r="M146" s="84"/>
      <c r="N146" s="84"/>
      <c r="O146" s="84"/>
      <c r="P146" s="85"/>
      <c r="Q146" s="84"/>
      <c r="R146" s="84"/>
      <c r="S146" s="84"/>
      <c r="T146" s="84"/>
      <c r="U146" s="86"/>
    </row>
    <row r="147" spans="1:21" ht="35.25">
      <c r="A147" s="73"/>
      <c r="B147" s="18"/>
      <c r="C147" s="18"/>
      <c r="D147" s="37" t="s">
        <v>2148</v>
      </c>
      <c r="E147" s="55"/>
      <c r="F147" s="56"/>
      <c r="G147" s="17"/>
      <c r="H147" s="18"/>
      <c r="I147" s="18"/>
      <c r="J147" s="18"/>
      <c r="K147" s="18"/>
      <c r="L147" s="47"/>
      <c r="M147" s="47"/>
      <c r="N147" s="47"/>
      <c r="S147" s="18"/>
      <c r="T147" s="18"/>
      <c r="U147" s="70"/>
    </row>
    <row r="148" spans="1:21" ht="9" customHeight="1">
      <c r="A148" s="73"/>
      <c r="B148" s="18"/>
      <c r="C148" s="18"/>
      <c r="D148" s="18"/>
      <c r="E148" s="55"/>
      <c r="F148" s="56"/>
      <c r="G148" s="17"/>
      <c r="H148" s="18"/>
      <c r="I148" s="18"/>
      <c r="J148" s="18"/>
      <c r="K148" s="18"/>
      <c r="L148" s="47"/>
      <c r="M148" s="47"/>
      <c r="N148" s="47"/>
      <c r="S148" s="18"/>
      <c r="T148" s="18"/>
      <c r="U148" s="70"/>
    </row>
    <row r="149" spans="1:21" s="18" customFormat="1">
      <c r="A149" s="73"/>
      <c r="E149" s="55"/>
      <c r="F149" s="56"/>
      <c r="G149" s="17"/>
      <c r="U149" s="70"/>
    </row>
    <row r="150" spans="1:21" ht="9" customHeight="1" thickBot="1">
      <c r="A150" s="74"/>
      <c r="B150" s="75"/>
      <c r="C150" s="75"/>
      <c r="D150" s="75"/>
      <c r="E150" s="76"/>
      <c r="F150" s="77"/>
      <c r="G150" s="78"/>
      <c r="H150" s="75"/>
      <c r="I150" s="75"/>
      <c r="J150" s="75"/>
      <c r="K150" s="75"/>
      <c r="L150" s="81"/>
      <c r="M150" s="81"/>
      <c r="N150" s="81"/>
      <c r="O150" s="75"/>
      <c r="P150" s="75"/>
      <c r="Q150" s="75"/>
      <c r="R150" s="75"/>
      <c r="S150" s="75"/>
      <c r="T150" s="75"/>
      <c r="U150" s="79"/>
    </row>
    <row r="151" spans="1:21" ht="9" customHeight="1">
      <c r="A151" s="62"/>
      <c r="B151" s="63"/>
      <c r="C151" s="63"/>
      <c r="D151" s="63"/>
      <c r="E151" s="64"/>
      <c r="F151" s="65"/>
      <c r="G151" s="66"/>
      <c r="H151" s="63"/>
      <c r="I151" s="63"/>
      <c r="J151" s="63"/>
      <c r="K151" s="63"/>
      <c r="L151" s="67"/>
      <c r="M151" s="67"/>
      <c r="N151" s="67"/>
      <c r="O151" s="63"/>
      <c r="P151" s="63"/>
      <c r="Q151" s="63"/>
      <c r="R151" s="63"/>
      <c r="S151" s="63"/>
      <c r="T151" s="63"/>
      <c r="U151" s="68"/>
    </row>
    <row r="152" spans="1:21">
      <c r="A152" s="69"/>
      <c r="B152" s="53"/>
      <c r="C152" s="53"/>
      <c r="D152" s="18"/>
      <c r="E152" s="55"/>
      <c r="F152" s="56"/>
      <c r="G152" s="17"/>
      <c r="H152" s="53"/>
      <c r="I152" s="18"/>
      <c r="J152" s="18"/>
      <c r="K152" s="18"/>
      <c r="L152" s="47"/>
      <c r="M152" s="47"/>
      <c r="N152" s="47"/>
      <c r="S152" s="18"/>
      <c r="T152" s="18"/>
      <c r="U152" s="70"/>
    </row>
    <row r="153" spans="1:21" ht="48" customHeight="1">
      <c r="A153" s="69"/>
      <c r="B153" s="18"/>
      <c r="C153" s="18"/>
      <c r="D153" s="18"/>
      <c r="E153" s="36"/>
      <c r="F153" s="45"/>
      <c r="G153" s="46"/>
      <c r="H153" s="57"/>
      <c r="I153" s="18"/>
      <c r="J153" s="18"/>
      <c r="K153" s="18"/>
      <c r="L153" s="47"/>
      <c r="M153" s="47"/>
      <c r="N153" s="47"/>
      <c r="Q153" s="51"/>
      <c r="S153" s="52">
        <v>11</v>
      </c>
      <c r="T153" s="80" t="s">
        <v>2147</v>
      </c>
      <c r="U153" s="97">
        <v>15</v>
      </c>
    </row>
    <row r="154" spans="1:21" ht="43.5" customHeight="1">
      <c r="A154" s="69"/>
      <c r="B154" s="34"/>
      <c r="C154" s="34"/>
      <c r="D154" s="34"/>
      <c r="E154" s="34"/>
      <c r="F154" s="34"/>
      <c r="G154" s="34"/>
      <c r="H154" s="53"/>
      <c r="I154" s="18"/>
      <c r="J154" s="18"/>
      <c r="K154" s="18"/>
      <c r="L154" s="47"/>
      <c r="M154" s="47"/>
      <c r="N154" s="47"/>
      <c r="P154" s="48"/>
      <c r="S154" s="18"/>
      <c r="T154" s="18"/>
      <c r="U154" s="70"/>
    </row>
    <row r="155" spans="1:21" ht="11.25" customHeight="1">
      <c r="A155" s="69"/>
      <c r="B155" s="32"/>
      <c r="C155" s="32"/>
      <c r="D155" s="33"/>
      <c r="E155" s="33"/>
      <c r="F155" s="33"/>
      <c r="G155" s="33"/>
      <c r="H155" s="53"/>
      <c r="I155" s="18"/>
      <c r="J155" s="18"/>
      <c r="K155" s="18"/>
      <c r="L155" s="47"/>
      <c r="M155" s="47"/>
      <c r="N155" s="47"/>
      <c r="S155" s="18"/>
      <c r="T155" s="18"/>
      <c r="U155" s="70"/>
    </row>
    <row r="156" spans="1:21" ht="87.75" customHeight="1">
      <c r="A156" s="69"/>
      <c r="B156" s="58" t="s">
        <v>2145</v>
      </c>
      <c r="C156" s="18"/>
      <c r="D156" s="35"/>
      <c r="E156" s="35"/>
      <c r="F156" s="35"/>
      <c r="G156" s="35"/>
      <c r="H156" s="59"/>
      <c r="I156" s="18"/>
      <c r="J156" s="18"/>
      <c r="K156" s="18"/>
      <c r="L156" s="47"/>
      <c r="M156" s="47"/>
      <c r="N156" s="47"/>
      <c r="S156" s="18"/>
      <c r="T156" s="18"/>
      <c r="U156" s="70"/>
    </row>
    <row r="157" spans="1:21" s="19" customFormat="1" ht="250.5" customHeight="1">
      <c r="A157" s="71"/>
      <c r="B157" s="61" t="s">
        <v>584</v>
      </c>
      <c r="C157" s="49"/>
      <c r="D157" s="60"/>
      <c r="E157" s="60"/>
      <c r="F157" s="60"/>
      <c r="G157" s="60"/>
      <c r="H157" s="54"/>
      <c r="I157" s="49"/>
      <c r="J157" s="49"/>
      <c r="K157" s="49"/>
      <c r="L157" s="52"/>
      <c r="M157" s="52"/>
      <c r="N157" s="52"/>
      <c r="O157" s="49"/>
      <c r="P157" s="49"/>
      <c r="Q157" s="51"/>
      <c r="R157" s="49"/>
      <c r="S157" s="49"/>
      <c r="T157" s="49"/>
      <c r="U157" s="72"/>
    </row>
    <row r="158" spans="1:21" ht="139.5" customHeight="1">
      <c r="A158" s="69"/>
      <c r="B158" s="82" t="s">
        <v>2453</v>
      </c>
      <c r="C158" s="94" t="s">
        <v>2153</v>
      </c>
      <c r="D158" s="95"/>
      <c r="E158" s="95"/>
      <c r="F158" s="95"/>
      <c r="G158" s="95"/>
      <c r="H158" s="83"/>
      <c r="I158" s="84"/>
      <c r="J158" s="84"/>
      <c r="K158" s="84"/>
      <c r="L158" s="84"/>
      <c r="M158" s="84"/>
      <c r="N158" s="84"/>
      <c r="O158" s="84"/>
      <c r="P158" s="85"/>
      <c r="Q158" s="84"/>
      <c r="R158" s="84"/>
      <c r="S158" s="84"/>
      <c r="T158" s="84"/>
      <c r="U158" s="86"/>
    </row>
    <row r="159" spans="1:21" ht="163.5" customHeight="1">
      <c r="A159" s="69"/>
      <c r="B159" s="82" t="s">
        <v>2402</v>
      </c>
      <c r="C159" s="92">
        <v>44287</v>
      </c>
      <c r="D159" s="93"/>
      <c r="E159" s="93"/>
      <c r="F159" s="93"/>
      <c r="G159" s="93"/>
      <c r="H159" s="87"/>
      <c r="I159" s="84"/>
      <c r="J159" s="84"/>
      <c r="K159" s="84"/>
      <c r="L159" s="84"/>
      <c r="M159" s="84"/>
      <c r="N159" s="84"/>
      <c r="O159" s="84"/>
      <c r="P159" s="84"/>
      <c r="Q159" s="88"/>
      <c r="R159" s="84"/>
      <c r="S159" s="84"/>
      <c r="T159" s="84"/>
      <c r="U159" s="86"/>
    </row>
    <row r="160" spans="1:21" ht="117.75" customHeight="1">
      <c r="A160" s="69"/>
      <c r="B160" s="82" t="s">
        <v>498</v>
      </c>
      <c r="C160" s="96" t="s">
        <v>585</v>
      </c>
      <c r="D160" s="31"/>
      <c r="E160" s="31"/>
      <c r="F160" s="31"/>
      <c r="G160" s="31"/>
      <c r="H160" s="89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6"/>
    </row>
    <row r="161" spans="1:21" ht="201.75" customHeight="1">
      <c r="A161" s="69"/>
      <c r="B161" s="82" t="s">
        <v>499</v>
      </c>
      <c r="C161" s="90">
        <v>500</v>
      </c>
      <c r="D161" s="91"/>
      <c r="E161" s="91"/>
      <c r="F161" s="91"/>
      <c r="G161" s="91"/>
      <c r="H161" s="89"/>
      <c r="I161" s="84"/>
      <c r="J161" s="84"/>
      <c r="K161" s="84"/>
      <c r="L161" s="84"/>
      <c r="M161" s="84"/>
      <c r="N161" s="84"/>
      <c r="O161" s="84"/>
      <c r="P161" s="85"/>
      <c r="Q161" s="84"/>
      <c r="R161" s="84"/>
      <c r="S161" s="84"/>
      <c r="T161" s="84"/>
      <c r="U161" s="86"/>
    </row>
    <row r="162" spans="1:21" ht="35.25">
      <c r="A162" s="73"/>
      <c r="B162" s="18"/>
      <c r="C162" s="18"/>
      <c r="D162" s="37" t="s">
        <v>2148</v>
      </c>
      <c r="E162" s="55"/>
      <c r="F162" s="56"/>
      <c r="G162" s="17"/>
      <c r="H162" s="18"/>
      <c r="I162" s="18"/>
      <c r="J162" s="18"/>
      <c r="K162" s="18"/>
      <c r="L162" s="47"/>
      <c r="M162" s="47"/>
      <c r="N162" s="47"/>
      <c r="S162" s="18"/>
      <c r="T162" s="18"/>
      <c r="U162" s="70"/>
    </row>
    <row r="163" spans="1:21" ht="9" customHeight="1">
      <c r="A163" s="73"/>
      <c r="B163" s="18"/>
      <c r="C163" s="18"/>
      <c r="D163" s="18"/>
      <c r="E163" s="55"/>
      <c r="F163" s="56"/>
      <c r="G163" s="17"/>
      <c r="H163" s="18"/>
      <c r="I163" s="18"/>
      <c r="J163" s="18"/>
      <c r="K163" s="18"/>
      <c r="L163" s="47"/>
      <c r="M163" s="47"/>
      <c r="N163" s="47"/>
      <c r="S163" s="18"/>
      <c r="T163" s="18"/>
      <c r="U163" s="70"/>
    </row>
    <row r="164" spans="1:21" s="18" customFormat="1">
      <c r="A164" s="73"/>
      <c r="E164" s="55"/>
      <c r="F164" s="56"/>
      <c r="G164" s="17"/>
      <c r="U164" s="70"/>
    </row>
    <row r="165" spans="1:21" ht="9" customHeight="1" thickBot="1">
      <c r="A165" s="74"/>
      <c r="B165" s="75"/>
      <c r="C165" s="75"/>
      <c r="D165" s="75"/>
      <c r="E165" s="76"/>
      <c r="F165" s="77"/>
      <c r="G165" s="78"/>
      <c r="H165" s="75"/>
      <c r="I165" s="75"/>
      <c r="J165" s="75"/>
      <c r="K165" s="75"/>
      <c r="L165" s="81"/>
      <c r="M165" s="81"/>
      <c r="N165" s="81"/>
      <c r="O165" s="75"/>
      <c r="P165" s="75"/>
      <c r="Q165" s="75"/>
      <c r="R165" s="75"/>
      <c r="S165" s="75"/>
      <c r="T165" s="75"/>
      <c r="U165" s="79"/>
    </row>
    <row r="166" spans="1:21" ht="9" customHeight="1">
      <c r="A166" s="62"/>
      <c r="B166" s="63"/>
      <c r="C166" s="63"/>
      <c r="D166" s="63"/>
      <c r="E166" s="64"/>
      <c r="F166" s="65"/>
      <c r="G166" s="66"/>
      <c r="H166" s="63"/>
      <c r="I166" s="63"/>
      <c r="J166" s="63"/>
      <c r="K166" s="63"/>
      <c r="L166" s="67"/>
      <c r="M166" s="67"/>
      <c r="N166" s="67"/>
      <c r="O166" s="63"/>
      <c r="P166" s="63"/>
      <c r="Q166" s="63"/>
      <c r="R166" s="63"/>
      <c r="S166" s="63"/>
      <c r="T166" s="63"/>
      <c r="U166" s="68"/>
    </row>
    <row r="167" spans="1:21">
      <c r="A167" s="69"/>
      <c r="B167" s="53"/>
      <c r="C167" s="53"/>
      <c r="D167" s="18"/>
      <c r="E167" s="55"/>
      <c r="F167" s="56"/>
      <c r="G167" s="17"/>
      <c r="H167" s="53"/>
      <c r="I167" s="18"/>
      <c r="J167" s="18"/>
      <c r="K167" s="18"/>
      <c r="L167" s="47"/>
      <c r="M167" s="47"/>
      <c r="N167" s="47"/>
      <c r="S167" s="18"/>
      <c r="T167" s="18"/>
      <c r="U167" s="70"/>
    </row>
    <row r="168" spans="1:21" ht="48" customHeight="1">
      <c r="A168" s="69"/>
      <c r="B168" s="18"/>
      <c r="C168" s="18"/>
      <c r="D168" s="18"/>
      <c r="E168" s="36"/>
      <c r="F168" s="45"/>
      <c r="G168" s="46"/>
      <c r="H168" s="57"/>
      <c r="I168" s="18"/>
      <c r="J168" s="18"/>
      <c r="K168" s="18"/>
      <c r="L168" s="47"/>
      <c r="M168" s="47"/>
      <c r="N168" s="47"/>
      <c r="Q168" s="51"/>
      <c r="S168" s="52">
        <v>12</v>
      </c>
      <c r="T168" s="80" t="s">
        <v>2147</v>
      </c>
      <c r="U168" s="97">
        <v>15</v>
      </c>
    </row>
    <row r="169" spans="1:21" ht="43.5" customHeight="1">
      <c r="A169" s="69"/>
      <c r="B169" s="34"/>
      <c r="C169" s="34"/>
      <c r="D169" s="34"/>
      <c r="E169" s="34"/>
      <c r="F169" s="34"/>
      <c r="G169" s="34"/>
      <c r="H169" s="53"/>
      <c r="I169" s="18"/>
      <c r="J169" s="18"/>
      <c r="K169" s="18"/>
      <c r="L169" s="47"/>
      <c r="M169" s="47"/>
      <c r="N169" s="47"/>
      <c r="P169" s="48"/>
      <c r="S169" s="18"/>
      <c r="T169" s="18"/>
      <c r="U169" s="70"/>
    </row>
    <row r="170" spans="1:21" ht="11.25" customHeight="1">
      <c r="A170" s="69"/>
      <c r="B170" s="32"/>
      <c r="C170" s="32"/>
      <c r="D170" s="33"/>
      <c r="E170" s="33"/>
      <c r="F170" s="33"/>
      <c r="G170" s="33"/>
      <c r="H170" s="53"/>
      <c r="I170" s="18"/>
      <c r="J170" s="18"/>
      <c r="K170" s="18"/>
      <c r="L170" s="47"/>
      <c r="M170" s="47"/>
      <c r="N170" s="47"/>
      <c r="S170" s="18"/>
      <c r="T170" s="18"/>
      <c r="U170" s="70"/>
    </row>
    <row r="171" spans="1:21" ht="87.75" customHeight="1">
      <c r="A171" s="69"/>
      <c r="B171" s="58" t="s">
        <v>2145</v>
      </c>
      <c r="C171" s="18"/>
      <c r="D171" s="35"/>
      <c r="E171" s="35"/>
      <c r="F171" s="35"/>
      <c r="G171" s="35"/>
      <c r="H171" s="59"/>
      <c r="I171" s="18"/>
      <c r="J171" s="18"/>
      <c r="K171" s="18"/>
      <c r="L171" s="47"/>
      <c r="M171" s="47"/>
      <c r="N171" s="47"/>
      <c r="S171" s="18"/>
      <c r="T171" s="18"/>
      <c r="U171" s="70"/>
    </row>
    <row r="172" spans="1:21" s="19" customFormat="1" ht="250.5" customHeight="1">
      <c r="A172" s="71"/>
      <c r="B172" s="61" t="s">
        <v>584</v>
      </c>
      <c r="C172" s="49"/>
      <c r="D172" s="60"/>
      <c r="E172" s="60"/>
      <c r="F172" s="60"/>
      <c r="G172" s="60"/>
      <c r="H172" s="54"/>
      <c r="I172" s="49"/>
      <c r="J172" s="49"/>
      <c r="K172" s="49"/>
      <c r="L172" s="52"/>
      <c r="M172" s="52"/>
      <c r="N172" s="52"/>
      <c r="O172" s="49"/>
      <c r="P172" s="49"/>
      <c r="Q172" s="51"/>
      <c r="R172" s="49"/>
      <c r="S172" s="49"/>
      <c r="T172" s="49"/>
      <c r="U172" s="72"/>
    </row>
    <row r="173" spans="1:21" ht="139.5" customHeight="1">
      <c r="A173" s="69"/>
      <c r="B173" s="82" t="s">
        <v>2453</v>
      </c>
      <c r="C173" s="94" t="s">
        <v>2153</v>
      </c>
      <c r="D173" s="95"/>
      <c r="E173" s="95"/>
      <c r="F173" s="95"/>
      <c r="G173" s="95"/>
      <c r="H173" s="83"/>
      <c r="I173" s="84"/>
      <c r="J173" s="84"/>
      <c r="K173" s="84"/>
      <c r="L173" s="84"/>
      <c r="M173" s="84"/>
      <c r="N173" s="84"/>
      <c r="O173" s="84"/>
      <c r="P173" s="85"/>
      <c r="Q173" s="84"/>
      <c r="R173" s="84"/>
      <c r="S173" s="84"/>
      <c r="T173" s="84"/>
      <c r="U173" s="86"/>
    </row>
    <row r="174" spans="1:21" ht="163.5" customHeight="1">
      <c r="A174" s="69"/>
      <c r="B174" s="82" t="s">
        <v>2402</v>
      </c>
      <c r="C174" s="92">
        <v>44287</v>
      </c>
      <c r="D174" s="93"/>
      <c r="E174" s="93"/>
      <c r="F174" s="93"/>
      <c r="G174" s="93"/>
      <c r="H174" s="87"/>
      <c r="I174" s="84"/>
      <c r="J174" s="84"/>
      <c r="K174" s="84"/>
      <c r="L174" s="84"/>
      <c r="M174" s="84"/>
      <c r="N174" s="84"/>
      <c r="O174" s="84"/>
      <c r="P174" s="84"/>
      <c r="Q174" s="88"/>
      <c r="R174" s="84"/>
      <c r="S174" s="84"/>
      <c r="T174" s="84"/>
      <c r="U174" s="86"/>
    </row>
    <row r="175" spans="1:21" ht="117.75" customHeight="1">
      <c r="A175" s="69"/>
      <c r="B175" s="82" t="s">
        <v>498</v>
      </c>
      <c r="C175" s="96" t="s">
        <v>585</v>
      </c>
      <c r="D175" s="31"/>
      <c r="E175" s="31"/>
      <c r="F175" s="31"/>
      <c r="G175" s="31"/>
      <c r="H175" s="89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6"/>
    </row>
    <row r="176" spans="1:21" ht="201.75" customHeight="1">
      <c r="A176" s="69"/>
      <c r="B176" s="82" t="s">
        <v>499</v>
      </c>
      <c r="C176" s="90">
        <v>500</v>
      </c>
      <c r="D176" s="91"/>
      <c r="E176" s="91"/>
      <c r="F176" s="91"/>
      <c r="G176" s="91"/>
      <c r="H176" s="89"/>
      <c r="I176" s="84"/>
      <c r="J176" s="84"/>
      <c r="K176" s="84"/>
      <c r="L176" s="84"/>
      <c r="M176" s="84"/>
      <c r="N176" s="84"/>
      <c r="O176" s="84"/>
      <c r="P176" s="85"/>
      <c r="Q176" s="84"/>
      <c r="R176" s="84"/>
      <c r="S176" s="84"/>
      <c r="T176" s="84"/>
      <c r="U176" s="86"/>
    </row>
    <row r="177" spans="1:21" ht="35.25">
      <c r="A177" s="73"/>
      <c r="B177" s="18"/>
      <c r="C177" s="18"/>
      <c r="D177" s="37" t="s">
        <v>2148</v>
      </c>
      <c r="E177" s="55"/>
      <c r="F177" s="56"/>
      <c r="G177" s="17"/>
      <c r="H177" s="18"/>
      <c r="I177" s="18"/>
      <c r="J177" s="18"/>
      <c r="K177" s="18"/>
      <c r="L177" s="47"/>
      <c r="M177" s="47"/>
      <c r="N177" s="47"/>
      <c r="S177" s="18"/>
      <c r="T177" s="18"/>
      <c r="U177" s="70"/>
    </row>
    <row r="178" spans="1:21" ht="9" customHeight="1">
      <c r="A178" s="73"/>
      <c r="B178" s="18"/>
      <c r="C178" s="18"/>
      <c r="D178" s="18"/>
      <c r="E178" s="55"/>
      <c r="F178" s="56"/>
      <c r="G178" s="17"/>
      <c r="H178" s="18"/>
      <c r="I178" s="18"/>
      <c r="J178" s="18"/>
      <c r="K178" s="18"/>
      <c r="L178" s="47"/>
      <c r="M178" s="47"/>
      <c r="N178" s="47"/>
      <c r="S178" s="18"/>
      <c r="T178" s="18"/>
      <c r="U178" s="70"/>
    </row>
    <row r="179" spans="1:21" s="18" customFormat="1">
      <c r="A179" s="73"/>
      <c r="E179" s="55"/>
      <c r="F179" s="56"/>
      <c r="G179" s="17"/>
      <c r="U179" s="70"/>
    </row>
    <row r="180" spans="1:21" ht="9" customHeight="1" thickBot="1">
      <c r="A180" s="74"/>
      <c r="B180" s="75"/>
      <c r="C180" s="75"/>
      <c r="D180" s="75"/>
      <c r="E180" s="76"/>
      <c r="F180" s="77"/>
      <c r="G180" s="78"/>
      <c r="H180" s="75"/>
      <c r="I180" s="75"/>
      <c r="J180" s="75"/>
      <c r="K180" s="75"/>
      <c r="L180" s="81"/>
      <c r="M180" s="81"/>
      <c r="N180" s="81"/>
      <c r="O180" s="75"/>
      <c r="P180" s="75"/>
      <c r="Q180" s="75"/>
      <c r="R180" s="75"/>
      <c r="S180" s="75"/>
      <c r="T180" s="75"/>
      <c r="U180" s="79"/>
    </row>
    <row r="181" spans="1:21" ht="9" customHeight="1">
      <c r="A181" s="62"/>
      <c r="B181" s="63"/>
      <c r="C181" s="63"/>
      <c r="D181" s="63"/>
      <c r="E181" s="64"/>
      <c r="F181" s="65"/>
      <c r="G181" s="66"/>
      <c r="H181" s="63"/>
      <c r="I181" s="63"/>
      <c r="J181" s="63"/>
      <c r="K181" s="63"/>
      <c r="L181" s="67"/>
      <c r="M181" s="67"/>
      <c r="N181" s="67"/>
      <c r="O181" s="63"/>
      <c r="P181" s="63"/>
      <c r="Q181" s="63"/>
      <c r="R181" s="63"/>
      <c r="S181" s="63"/>
      <c r="T181" s="63"/>
      <c r="U181" s="68"/>
    </row>
    <row r="182" spans="1:21">
      <c r="A182" s="69"/>
      <c r="B182" s="53"/>
      <c r="C182" s="53"/>
      <c r="D182" s="18"/>
      <c r="E182" s="55"/>
      <c r="F182" s="56"/>
      <c r="G182" s="17"/>
      <c r="H182" s="53"/>
      <c r="I182" s="18"/>
      <c r="J182" s="18"/>
      <c r="K182" s="18"/>
      <c r="L182" s="47"/>
      <c r="M182" s="47"/>
      <c r="N182" s="47"/>
      <c r="S182" s="18"/>
      <c r="T182" s="18"/>
      <c r="U182" s="70"/>
    </row>
    <row r="183" spans="1:21" ht="48" customHeight="1">
      <c r="A183" s="69"/>
      <c r="B183" s="18"/>
      <c r="C183" s="18"/>
      <c r="D183" s="18"/>
      <c r="E183" s="36"/>
      <c r="F183" s="45"/>
      <c r="G183" s="46"/>
      <c r="H183" s="57"/>
      <c r="I183" s="18"/>
      <c r="J183" s="18"/>
      <c r="K183" s="18"/>
      <c r="L183" s="47"/>
      <c r="M183" s="47"/>
      <c r="N183" s="47"/>
      <c r="Q183" s="51"/>
      <c r="S183" s="52">
        <v>13</v>
      </c>
      <c r="T183" s="80" t="s">
        <v>2147</v>
      </c>
      <c r="U183" s="97">
        <v>15</v>
      </c>
    </row>
    <row r="184" spans="1:21" ht="43.5" customHeight="1">
      <c r="A184" s="69"/>
      <c r="B184" s="34"/>
      <c r="C184" s="34"/>
      <c r="D184" s="34"/>
      <c r="E184" s="34"/>
      <c r="F184" s="34"/>
      <c r="G184" s="34"/>
      <c r="H184" s="53"/>
      <c r="I184" s="18"/>
      <c r="J184" s="18"/>
      <c r="K184" s="18"/>
      <c r="L184" s="47"/>
      <c r="M184" s="47"/>
      <c r="N184" s="47"/>
      <c r="P184" s="48"/>
      <c r="S184" s="18"/>
      <c r="T184" s="18"/>
      <c r="U184" s="70"/>
    </row>
    <row r="185" spans="1:21" ht="11.25" customHeight="1">
      <c r="A185" s="69"/>
      <c r="B185" s="32"/>
      <c r="C185" s="32"/>
      <c r="D185" s="33"/>
      <c r="E185" s="33"/>
      <c r="F185" s="33"/>
      <c r="G185" s="33"/>
      <c r="H185" s="53"/>
      <c r="I185" s="18"/>
      <c r="J185" s="18"/>
      <c r="K185" s="18"/>
      <c r="L185" s="47"/>
      <c r="M185" s="47"/>
      <c r="N185" s="47"/>
      <c r="S185" s="18"/>
      <c r="T185" s="18"/>
      <c r="U185" s="70"/>
    </row>
    <row r="186" spans="1:21" ht="87.75" customHeight="1">
      <c r="A186" s="69"/>
      <c r="B186" s="58" t="s">
        <v>2145</v>
      </c>
      <c r="C186" s="18"/>
      <c r="D186" s="35"/>
      <c r="E186" s="35"/>
      <c r="F186" s="35"/>
      <c r="G186" s="35"/>
      <c r="H186" s="59"/>
      <c r="I186" s="18"/>
      <c r="J186" s="18"/>
      <c r="K186" s="18"/>
      <c r="L186" s="47"/>
      <c r="M186" s="47"/>
      <c r="N186" s="47"/>
      <c r="S186" s="18"/>
      <c r="T186" s="18"/>
      <c r="U186" s="70"/>
    </row>
    <row r="187" spans="1:21" s="19" customFormat="1" ht="250.5" customHeight="1">
      <c r="A187" s="71"/>
      <c r="B187" s="61" t="s">
        <v>584</v>
      </c>
      <c r="C187" s="49"/>
      <c r="D187" s="60"/>
      <c r="E187" s="60"/>
      <c r="F187" s="60"/>
      <c r="G187" s="60"/>
      <c r="H187" s="54"/>
      <c r="I187" s="49"/>
      <c r="J187" s="49"/>
      <c r="K187" s="49"/>
      <c r="L187" s="52"/>
      <c r="M187" s="52"/>
      <c r="N187" s="52"/>
      <c r="O187" s="49"/>
      <c r="P187" s="49"/>
      <c r="Q187" s="51"/>
      <c r="R187" s="49"/>
      <c r="S187" s="49"/>
      <c r="T187" s="49"/>
      <c r="U187" s="72"/>
    </row>
    <row r="188" spans="1:21" ht="139.5" customHeight="1">
      <c r="A188" s="69"/>
      <c r="B188" s="82" t="s">
        <v>2453</v>
      </c>
      <c r="C188" s="94" t="s">
        <v>2153</v>
      </c>
      <c r="D188" s="95"/>
      <c r="E188" s="95"/>
      <c r="F188" s="95"/>
      <c r="G188" s="95"/>
      <c r="H188" s="83"/>
      <c r="I188" s="84"/>
      <c r="J188" s="84"/>
      <c r="K188" s="84"/>
      <c r="L188" s="84"/>
      <c r="M188" s="84"/>
      <c r="N188" s="84"/>
      <c r="O188" s="84"/>
      <c r="P188" s="85"/>
      <c r="Q188" s="84"/>
      <c r="R188" s="84"/>
      <c r="S188" s="84"/>
      <c r="T188" s="84"/>
      <c r="U188" s="86"/>
    </row>
    <row r="189" spans="1:21" ht="163.5" customHeight="1">
      <c r="A189" s="69"/>
      <c r="B189" s="82" t="s">
        <v>2402</v>
      </c>
      <c r="C189" s="92">
        <v>44287</v>
      </c>
      <c r="D189" s="93"/>
      <c r="E189" s="93"/>
      <c r="F189" s="93"/>
      <c r="G189" s="93"/>
      <c r="H189" s="87"/>
      <c r="I189" s="84"/>
      <c r="J189" s="84"/>
      <c r="K189" s="84"/>
      <c r="L189" s="84"/>
      <c r="M189" s="84"/>
      <c r="N189" s="84"/>
      <c r="O189" s="84"/>
      <c r="P189" s="84"/>
      <c r="Q189" s="88"/>
      <c r="R189" s="84"/>
      <c r="S189" s="84"/>
      <c r="T189" s="84"/>
      <c r="U189" s="86"/>
    </row>
    <row r="190" spans="1:21" ht="117.75" customHeight="1">
      <c r="A190" s="69"/>
      <c r="B190" s="82" t="s">
        <v>498</v>
      </c>
      <c r="C190" s="96" t="s">
        <v>585</v>
      </c>
      <c r="D190" s="31"/>
      <c r="E190" s="31"/>
      <c r="F190" s="31"/>
      <c r="G190" s="31"/>
      <c r="H190" s="89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6"/>
    </row>
    <row r="191" spans="1:21" ht="201.75" customHeight="1">
      <c r="A191" s="69"/>
      <c r="B191" s="82" t="s">
        <v>499</v>
      </c>
      <c r="C191" s="90">
        <v>500</v>
      </c>
      <c r="D191" s="91"/>
      <c r="E191" s="91"/>
      <c r="F191" s="91"/>
      <c r="G191" s="91"/>
      <c r="H191" s="89"/>
      <c r="I191" s="84"/>
      <c r="J191" s="84"/>
      <c r="K191" s="84"/>
      <c r="L191" s="84"/>
      <c r="M191" s="84"/>
      <c r="N191" s="84"/>
      <c r="O191" s="84"/>
      <c r="P191" s="85"/>
      <c r="Q191" s="84"/>
      <c r="R191" s="84"/>
      <c r="S191" s="84"/>
      <c r="T191" s="84"/>
      <c r="U191" s="86"/>
    </row>
    <row r="192" spans="1:21" ht="35.25">
      <c r="A192" s="73"/>
      <c r="B192" s="18"/>
      <c r="C192" s="18"/>
      <c r="D192" s="37" t="s">
        <v>2148</v>
      </c>
      <c r="E192" s="55"/>
      <c r="F192" s="56"/>
      <c r="G192" s="17"/>
      <c r="H192" s="18"/>
      <c r="I192" s="18"/>
      <c r="J192" s="18"/>
      <c r="K192" s="18"/>
      <c r="L192" s="47"/>
      <c r="M192" s="47"/>
      <c r="N192" s="47"/>
      <c r="S192" s="18"/>
      <c r="T192" s="18"/>
      <c r="U192" s="70"/>
    </row>
    <row r="193" spans="1:21" ht="9" customHeight="1">
      <c r="A193" s="73"/>
      <c r="B193" s="18"/>
      <c r="C193" s="18"/>
      <c r="D193" s="18"/>
      <c r="E193" s="55"/>
      <c r="F193" s="56"/>
      <c r="G193" s="17"/>
      <c r="H193" s="18"/>
      <c r="I193" s="18"/>
      <c r="J193" s="18"/>
      <c r="K193" s="18"/>
      <c r="L193" s="47"/>
      <c r="M193" s="47"/>
      <c r="N193" s="47"/>
      <c r="S193" s="18"/>
      <c r="T193" s="18"/>
      <c r="U193" s="70"/>
    </row>
    <row r="194" spans="1:21" s="18" customFormat="1">
      <c r="A194" s="73"/>
      <c r="E194" s="55"/>
      <c r="F194" s="56"/>
      <c r="G194" s="17"/>
      <c r="U194" s="70"/>
    </row>
    <row r="195" spans="1:21" ht="9" customHeight="1" thickBot="1">
      <c r="A195" s="74"/>
      <c r="B195" s="75"/>
      <c r="C195" s="75"/>
      <c r="D195" s="75"/>
      <c r="E195" s="76"/>
      <c r="F195" s="77"/>
      <c r="G195" s="78"/>
      <c r="H195" s="75"/>
      <c r="I195" s="75"/>
      <c r="J195" s="75"/>
      <c r="K195" s="75"/>
      <c r="L195" s="81"/>
      <c r="M195" s="81"/>
      <c r="N195" s="81"/>
      <c r="O195" s="75"/>
      <c r="P195" s="75"/>
      <c r="Q195" s="75"/>
      <c r="R195" s="75"/>
      <c r="S195" s="75"/>
      <c r="T195" s="75"/>
      <c r="U195" s="79"/>
    </row>
    <row r="196" spans="1:21" ht="9" customHeight="1">
      <c r="A196" s="62"/>
      <c r="B196" s="63"/>
      <c r="C196" s="63"/>
      <c r="D196" s="63"/>
      <c r="E196" s="64"/>
      <c r="F196" s="65"/>
      <c r="G196" s="66"/>
      <c r="H196" s="63"/>
      <c r="I196" s="63"/>
      <c r="J196" s="63"/>
      <c r="K196" s="63"/>
      <c r="L196" s="67"/>
      <c r="M196" s="67"/>
      <c r="N196" s="67"/>
      <c r="O196" s="63"/>
      <c r="P196" s="63"/>
      <c r="Q196" s="63"/>
      <c r="R196" s="63"/>
      <c r="S196" s="63"/>
      <c r="T196" s="63"/>
      <c r="U196" s="68"/>
    </row>
    <row r="197" spans="1:21">
      <c r="A197" s="69"/>
      <c r="B197" s="53"/>
      <c r="C197" s="53"/>
      <c r="D197" s="18"/>
      <c r="E197" s="55"/>
      <c r="F197" s="56"/>
      <c r="G197" s="17"/>
      <c r="H197" s="53"/>
      <c r="I197" s="18"/>
      <c r="J197" s="18"/>
      <c r="K197" s="18"/>
      <c r="L197" s="47"/>
      <c r="M197" s="47"/>
      <c r="N197" s="47"/>
      <c r="S197" s="18"/>
      <c r="T197" s="18"/>
      <c r="U197" s="70"/>
    </row>
    <row r="198" spans="1:21" ht="48" customHeight="1">
      <c r="A198" s="69"/>
      <c r="B198" s="18"/>
      <c r="C198" s="18"/>
      <c r="D198" s="18"/>
      <c r="E198" s="36"/>
      <c r="F198" s="45"/>
      <c r="G198" s="46"/>
      <c r="H198" s="57"/>
      <c r="I198" s="18"/>
      <c r="J198" s="18"/>
      <c r="K198" s="18"/>
      <c r="L198" s="47"/>
      <c r="M198" s="47"/>
      <c r="N198" s="47"/>
      <c r="Q198" s="51"/>
      <c r="S198" s="52">
        <v>14</v>
      </c>
      <c r="T198" s="80" t="s">
        <v>2147</v>
      </c>
      <c r="U198" s="97">
        <v>15</v>
      </c>
    </row>
    <row r="199" spans="1:21" ht="43.5" customHeight="1">
      <c r="A199" s="69"/>
      <c r="B199" s="34"/>
      <c r="C199" s="34"/>
      <c r="D199" s="34"/>
      <c r="E199" s="34"/>
      <c r="F199" s="34"/>
      <c r="G199" s="34"/>
      <c r="H199" s="53"/>
      <c r="I199" s="18"/>
      <c r="J199" s="18"/>
      <c r="K199" s="18"/>
      <c r="L199" s="47"/>
      <c r="M199" s="47"/>
      <c r="N199" s="47"/>
      <c r="P199" s="48"/>
      <c r="S199" s="18"/>
      <c r="T199" s="18"/>
      <c r="U199" s="70"/>
    </row>
    <row r="200" spans="1:21" ht="11.25" customHeight="1">
      <c r="A200" s="69"/>
      <c r="B200" s="32"/>
      <c r="C200" s="32"/>
      <c r="D200" s="33"/>
      <c r="E200" s="33"/>
      <c r="F200" s="33"/>
      <c r="G200" s="33"/>
      <c r="H200" s="53"/>
      <c r="I200" s="18"/>
      <c r="J200" s="18"/>
      <c r="K200" s="18"/>
      <c r="L200" s="47"/>
      <c r="M200" s="47"/>
      <c r="N200" s="47"/>
      <c r="S200" s="18"/>
      <c r="T200" s="18"/>
      <c r="U200" s="70"/>
    </row>
    <row r="201" spans="1:21" ht="87.75" customHeight="1">
      <c r="A201" s="69"/>
      <c r="B201" s="58" t="s">
        <v>2145</v>
      </c>
      <c r="C201" s="18"/>
      <c r="D201" s="35"/>
      <c r="E201" s="35"/>
      <c r="F201" s="35"/>
      <c r="G201" s="35"/>
      <c r="H201" s="59"/>
      <c r="I201" s="18"/>
      <c r="J201" s="18"/>
      <c r="K201" s="18"/>
      <c r="L201" s="47"/>
      <c r="M201" s="47"/>
      <c r="N201" s="47"/>
      <c r="S201" s="18"/>
      <c r="T201" s="18"/>
      <c r="U201" s="70"/>
    </row>
    <row r="202" spans="1:21" s="19" customFormat="1" ht="250.5" customHeight="1">
      <c r="A202" s="71"/>
      <c r="B202" s="61" t="s">
        <v>584</v>
      </c>
      <c r="C202" s="49"/>
      <c r="D202" s="60"/>
      <c r="E202" s="60"/>
      <c r="F202" s="60"/>
      <c r="G202" s="60"/>
      <c r="H202" s="54"/>
      <c r="I202" s="49"/>
      <c r="J202" s="49"/>
      <c r="K202" s="49"/>
      <c r="L202" s="52"/>
      <c r="M202" s="52"/>
      <c r="N202" s="52"/>
      <c r="O202" s="49"/>
      <c r="P202" s="49"/>
      <c r="Q202" s="51"/>
      <c r="R202" s="49"/>
      <c r="S202" s="49"/>
      <c r="T202" s="49"/>
      <c r="U202" s="72"/>
    </row>
    <row r="203" spans="1:21" ht="139.5" customHeight="1">
      <c r="A203" s="69"/>
      <c r="B203" s="82" t="s">
        <v>2453</v>
      </c>
      <c r="C203" s="94" t="s">
        <v>2153</v>
      </c>
      <c r="D203" s="95"/>
      <c r="E203" s="95"/>
      <c r="F203" s="95"/>
      <c r="G203" s="95"/>
      <c r="H203" s="83"/>
      <c r="I203" s="84"/>
      <c r="J203" s="84"/>
      <c r="K203" s="84"/>
      <c r="L203" s="84"/>
      <c r="M203" s="84"/>
      <c r="N203" s="84"/>
      <c r="O203" s="84"/>
      <c r="P203" s="85"/>
      <c r="Q203" s="84"/>
      <c r="R203" s="84"/>
      <c r="S203" s="84"/>
      <c r="T203" s="84"/>
      <c r="U203" s="86"/>
    </row>
    <row r="204" spans="1:21" ht="163.5" customHeight="1">
      <c r="A204" s="69"/>
      <c r="B204" s="82" t="s">
        <v>2402</v>
      </c>
      <c r="C204" s="92">
        <v>44287</v>
      </c>
      <c r="D204" s="93"/>
      <c r="E204" s="93"/>
      <c r="F204" s="93"/>
      <c r="G204" s="93"/>
      <c r="H204" s="87"/>
      <c r="I204" s="84"/>
      <c r="J204" s="84"/>
      <c r="K204" s="84"/>
      <c r="L204" s="84"/>
      <c r="M204" s="84"/>
      <c r="N204" s="84"/>
      <c r="O204" s="84"/>
      <c r="P204" s="84"/>
      <c r="Q204" s="88"/>
      <c r="R204" s="84"/>
      <c r="S204" s="84"/>
      <c r="T204" s="84"/>
      <c r="U204" s="86"/>
    </row>
    <row r="205" spans="1:21" ht="117.75" customHeight="1">
      <c r="A205" s="69"/>
      <c r="B205" s="82" t="s">
        <v>498</v>
      </c>
      <c r="C205" s="96" t="s">
        <v>585</v>
      </c>
      <c r="D205" s="31"/>
      <c r="E205" s="31"/>
      <c r="F205" s="31"/>
      <c r="G205" s="31"/>
      <c r="H205" s="89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6"/>
    </row>
    <row r="206" spans="1:21" ht="201.75" customHeight="1">
      <c r="A206" s="69"/>
      <c r="B206" s="82" t="s">
        <v>499</v>
      </c>
      <c r="C206" s="90">
        <v>500</v>
      </c>
      <c r="D206" s="91"/>
      <c r="E206" s="91"/>
      <c r="F206" s="91"/>
      <c r="G206" s="91"/>
      <c r="H206" s="89"/>
      <c r="I206" s="84"/>
      <c r="J206" s="84"/>
      <c r="K206" s="84"/>
      <c r="L206" s="84"/>
      <c r="M206" s="84"/>
      <c r="N206" s="84"/>
      <c r="O206" s="84"/>
      <c r="P206" s="85"/>
      <c r="Q206" s="84"/>
      <c r="R206" s="84"/>
      <c r="S206" s="84"/>
      <c r="T206" s="84"/>
      <c r="U206" s="86"/>
    </row>
    <row r="207" spans="1:21" ht="35.25">
      <c r="A207" s="73"/>
      <c r="B207" s="18"/>
      <c r="C207" s="18"/>
      <c r="D207" s="37" t="s">
        <v>2148</v>
      </c>
      <c r="E207" s="55"/>
      <c r="F207" s="56"/>
      <c r="G207" s="17"/>
      <c r="H207" s="18"/>
      <c r="I207" s="18"/>
      <c r="J207" s="18"/>
      <c r="K207" s="18"/>
      <c r="L207" s="47"/>
      <c r="M207" s="47"/>
      <c r="N207" s="47"/>
      <c r="S207" s="18"/>
      <c r="T207" s="18"/>
      <c r="U207" s="70"/>
    </row>
    <row r="208" spans="1:21" ht="9" customHeight="1">
      <c r="A208" s="73"/>
      <c r="B208" s="18"/>
      <c r="C208" s="18"/>
      <c r="D208" s="18"/>
      <c r="E208" s="55"/>
      <c r="F208" s="56"/>
      <c r="G208" s="17"/>
      <c r="H208" s="18"/>
      <c r="I208" s="18"/>
      <c r="J208" s="18"/>
      <c r="K208" s="18"/>
      <c r="L208" s="47"/>
      <c r="M208" s="47"/>
      <c r="N208" s="47"/>
      <c r="S208" s="18"/>
      <c r="T208" s="18"/>
      <c r="U208" s="70"/>
    </row>
    <row r="209" spans="1:21" s="18" customFormat="1">
      <c r="A209" s="73"/>
      <c r="E209" s="55"/>
      <c r="F209" s="56"/>
      <c r="G209" s="17"/>
      <c r="U209" s="70"/>
    </row>
    <row r="210" spans="1:21" ht="9" customHeight="1" thickBot="1">
      <c r="A210" s="74"/>
      <c r="B210" s="75"/>
      <c r="C210" s="75"/>
      <c r="D210" s="75"/>
      <c r="E210" s="76"/>
      <c r="F210" s="77"/>
      <c r="G210" s="78"/>
      <c r="H210" s="75"/>
      <c r="I210" s="75"/>
      <c r="J210" s="75"/>
      <c r="K210" s="75"/>
      <c r="L210" s="81"/>
      <c r="M210" s="81"/>
      <c r="N210" s="81"/>
      <c r="O210" s="75"/>
      <c r="P210" s="75"/>
      <c r="Q210" s="75"/>
      <c r="R210" s="75"/>
      <c r="S210" s="75"/>
      <c r="T210" s="75"/>
      <c r="U210" s="79"/>
    </row>
    <row r="211" spans="1:21" ht="9" customHeight="1">
      <c r="A211" s="62"/>
      <c r="B211" s="63"/>
      <c r="C211" s="63"/>
      <c r="D211" s="63"/>
      <c r="E211" s="64"/>
      <c r="F211" s="65"/>
      <c r="G211" s="66"/>
      <c r="H211" s="63"/>
      <c r="I211" s="63"/>
      <c r="J211" s="63"/>
      <c r="K211" s="63"/>
      <c r="L211" s="67"/>
      <c r="M211" s="67"/>
      <c r="N211" s="67"/>
      <c r="O211" s="63"/>
      <c r="P211" s="63"/>
      <c r="Q211" s="63"/>
      <c r="R211" s="63"/>
      <c r="S211" s="63"/>
      <c r="T211" s="63"/>
      <c r="U211" s="68"/>
    </row>
    <row r="212" spans="1:21">
      <c r="A212" s="69"/>
      <c r="B212" s="53"/>
      <c r="C212" s="53"/>
      <c r="D212" s="18"/>
      <c r="E212" s="55"/>
      <c r="F212" s="56"/>
      <c r="G212" s="17"/>
      <c r="H212" s="53"/>
      <c r="I212" s="18"/>
      <c r="J212" s="18"/>
      <c r="K212" s="18"/>
      <c r="L212" s="47"/>
      <c r="M212" s="47"/>
      <c r="N212" s="47"/>
      <c r="S212" s="18"/>
      <c r="T212" s="18"/>
      <c r="U212" s="70"/>
    </row>
    <row r="213" spans="1:21" ht="48" customHeight="1">
      <c r="A213" s="69"/>
      <c r="B213" s="18"/>
      <c r="C213" s="18"/>
      <c r="D213" s="18"/>
      <c r="E213" s="36"/>
      <c r="F213" s="45"/>
      <c r="G213" s="46"/>
      <c r="H213" s="57"/>
      <c r="I213" s="18"/>
      <c r="J213" s="18"/>
      <c r="K213" s="18"/>
      <c r="L213" s="47"/>
      <c r="M213" s="47"/>
      <c r="N213" s="47"/>
      <c r="Q213" s="51"/>
      <c r="S213" s="52">
        <v>15</v>
      </c>
      <c r="T213" s="80" t="s">
        <v>2147</v>
      </c>
      <c r="U213" s="97">
        <v>15</v>
      </c>
    </row>
    <row r="214" spans="1:21" ht="43.5" customHeight="1">
      <c r="A214" s="69"/>
      <c r="B214" s="34"/>
      <c r="C214" s="34"/>
      <c r="D214" s="34"/>
      <c r="E214" s="34"/>
      <c r="F214" s="34"/>
      <c r="G214" s="34"/>
      <c r="H214" s="53"/>
      <c r="I214" s="18"/>
      <c r="J214" s="18"/>
      <c r="K214" s="18"/>
      <c r="L214" s="47"/>
      <c r="M214" s="47"/>
      <c r="N214" s="47"/>
      <c r="P214" s="48"/>
      <c r="S214" s="18"/>
      <c r="T214" s="18"/>
      <c r="U214" s="70"/>
    </row>
    <row r="215" spans="1:21" ht="11.25" customHeight="1">
      <c r="A215" s="69"/>
      <c r="B215" s="32"/>
      <c r="C215" s="32"/>
      <c r="D215" s="33"/>
      <c r="E215" s="33"/>
      <c r="F215" s="33"/>
      <c r="G215" s="33"/>
      <c r="H215" s="53"/>
      <c r="I215" s="18"/>
      <c r="J215" s="18"/>
      <c r="K215" s="18"/>
      <c r="L215" s="47"/>
      <c r="M215" s="47"/>
      <c r="N215" s="47"/>
      <c r="S215" s="18"/>
      <c r="T215" s="18"/>
      <c r="U215" s="70"/>
    </row>
    <row r="216" spans="1:21" ht="87.75" customHeight="1">
      <c r="A216" s="69"/>
      <c r="B216" s="58" t="s">
        <v>2145</v>
      </c>
      <c r="C216" s="18"/>
      <c r="D216" s="35"/>
      <c r="E216" s="35"/>
      <c r="F216" s="35"/>
      <c r="G216" s="35"/>
      <c r="H216" s="59"/>
      <c r="I216" s="18"/>
      <c r="J216" s="18"/>
      <c r="K216" s="18"/>
      <c r="L216" s="47"/>
      <c r="M216" s="47"/>
      <c r="N216" s="47"/>
      <c r="S216" s="18"/>
      <c r="T216" s="18"/>
      <c r="U216" s="70"/>
    </row>
    <row r="217" spans="1:21" s="19" customFormat="1" ht="250.5" customHeight="1">
      <c r="A217" s="71"/>
      <c r="B217" s="61" t="s">
        <v>584</v>
      </c>
      <c r="C217" s="49"/>
      <c r="D217" s="60"/>
      <c r="E217" s="60"/>
      <c r="F217" s="60"/>
      <c r="G217" s="60"/>
      <c r="H217" s="54"/>
      <c r="I217" s="49"/>
      <c r="J217" s="49"/>
      <c r="K217" s="49"/>
      <c r="L217" s="52"/>
      <c r="M217" s="52"/>
      <c r="N217" s="52"/>
      <c r="O217" s="49"/>
      <c r="P217" s="49"/>
      <c r="Q217" s="51"/>
      <c r="R217" s="49"/>
      <c r="S217" s="49"/>
      <c r="T217" s="49"/>
      <c r="U217" s="72"/>
    </row>
    <row r="218" spans="1:21" ht="139.5" customHeight="1">
      <c r="A218" s="69"/>
      <c r="B218" s="82" t="s">
        <v>2453</v>
      </c>
      <c r="C218" s="94" t="s">
        <v>2153</v>
      </c>
      <c r="D218" s="95"/>
      <c r="E218" s="95"/>
      <c r="F218" s="95"/>
      <c r="G218" s="95"/>
      <c r="H218" s="83"/>
      <c r="I218" s="84"/>
      <c r="J218" s="84"/>
      <c r="K218" s="84"/>
      <c r="L218" s="84"/>
      <c r="M218" s="84"/>
      <c r="N218" s="84"/>
      <c r="O218" s="84"/>
      <c r="P218" s="85"/>
      <c r="Q218" s="84"/>
      <c r="R218" s="84"/>
      <c r="S218" s="84"/>
      <c r="T218" s="84"/>
      <c r="U218" s="86"/>
    </row>
    <row r="219" spans="1:21" ht="163.5" customHeight="1">
      <c r="A219" s="69"/>
      <c r="B219" s="82" t="s">
        <v>2402</v>
      </c>
      <c r="C219" s="92">
        <v>44287</v>
      </c>
      <c r="D219" s="93"/>
      <c r="E219" s="93"/>
      <c r="F219" s="93"/>
      <c r="G219" s="93"/>
      <c r="H219" s="87"/>
      <c r="I219" s="84"/>
      <c r="J219" s="84"/>
      <c r="K219" s="84"/>
      <c r="L219" s="84"/>
      <c r="M219" s="84"/>
      <c r="N219" s="84"/>
      <c r="O219" s="84"/>
      <c r="P219" s="84"/>
      <c r="Q219" s="88"/>
      <c r="R219" s="84"/>
      <c r="S219" s="84"/>
      <c r="T219" s="84"/>
      <c r="U219" s="86"/>
    </row>
    <row r="220" spans="1:21" ht="117.75" customHeight="1">
      <c r="A220" s="69"/>
      <c r="B220" s="82" t="s">
        <v>498</v>
      </c>
      <c r="C220" s="96" t="s">
        <v>585</v>
      </c>
      <c r="D220" s="31"/>
      <c r="E220" s="31"/>
      <c r="F220" s="31"/>
      <c r="G220" s="31"/>
      <c r="H220" s="89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6"/>
    </row>
    <row r="221" spans="1:21" ht="201.75" customHeight="1">
      <c r="A221" s="69"/>
      <c r="B221" s="82" t="s">
        <v>499</v>
      </c>
      <c r="C221" s="90">
        <v>500</v>
      </c>
      <c r="D221" s="91"/>
      <c r="E221" s="91"/>
      <c r="F221" s="91"/>
      <c r="G221" s="91"/>
      <c r="H221" s="89"/>
      <c r="I221" s="84"/>
      <c r="J221" s="84"/>
      <c r="K221" s="84"/>
      <c r="L221" s="84"/>
      <c r="M221" s="84"/>
      <c r="N221" s="84"/>
      <c r="O221" s="84"/>
      <c r="P221" s="85"/>
      <c r="Q221" s="84"/>
      <c r="R221" s="84"/>
      <c r="S221" s="84"/>
      <c r="T221" s="84"/>
      <c r="U221" s="86"/>
    </row>
    <row r="222" spans="1:21" ht="35.25">
      <c r="A222" s="73"/>
      <c r="B222" s="18"/>
      <c r="C222" s="18"/>
      <c r="D222" s="37" t="s">
        <v>2148</v>
      </c>
      <c r="E222" s="55"/>
      <c r="F222" s="56"/>
      <c r="G222" s="17"/>
      <c r="H222" s="18"/>
      <c r="I222" s="18"/>
      <c r="J222" s="18"/>
      <c r="K222" s="18"/>
      <c r="L222" s="47"/>
      <c r="M222" s="47"/>
      <c r="N222" s="47"/>
      <c r="S222" s="18"/>
      <c r="T222" s="18"/>
      <c r="U222" s="70"/>
    </row>
    <row r="223" spans="1:21" ht="9" customHeight="1">
      <c r="A223" s="73"/>
      <c r="B223" s="18"/>
      <c r="C223" s="18"/>
      <c r="D223" s="18"/>
      <c r="E223" s="55"/>
      <c r="F223" s="56"/>
      <c r="G223" s="17"/>
      <c r="H223" s="18"/>
      <c r="I223" s="18"/>
      <c r="J223" s="18"/>
      <c r="K223" s="18"/>
      <c r="L223" s="47"/>
      <c r="M223" s="47"/>
      <c r="N223" s="47"/>
      <c r="S223" s="18"/>
      <c r="T223" s="18"/>
      <c r="U223" s="70"/>
    </row>
    <row r="224" spans="1:21" s="18" customFormat="1">
      <c r="A224" s="73"/>
      <c r="E224" s="55"/>
      <c r="F224" s="56"/>
      <c r="G224" s="17"/>
      <c r="U224" s="70"/>
    </row>
    <row r="225" spans="1:21" ht="9" customHeight="1" thickBot="1">
      <c r="A225" s="74"/>
      <c r="B225" s="75"/>
      <c r="C225" s="75"/>
      <c r="D225" s="75"/>
      <c r="E225" s="76"/>
      <c r="F225" s="77"/>
      <c r="G225" s="78"/>
      <c r="H225" s="75"/>
      <c r="I225" s="75"/>
      <c r="J225" s="75"/>
      <c r="K225" s="75"/>
      <c r="L225" s="81"/>
      <c r="M225" s="81"/>
      <c r="N225" s="81"/>
      <c r="O225" s="75"/>
      <c r="P225" s="75"/>
      <c r="Q225" s="75"/>
      <c r="R225" s="75"/>
      <c r="S225" s="75"/>
      <c r="T225" s="75"/>
      <c r="U225" s="79"/>
    </row>
    <row r="226" spans="1:21" ht="9" customHeight="1">
      <c r="A226" s="62"/>
      <c r="B226" s="63"/>
      <c r="C226" s="63"/>
      <c r="D226" s="63"/>
      <c r="E226" s="64"/>
      <c r="F226" s="65"/>
      <c r="G226" s="66"/>
      <c r="H226" s="63"/>
      <c r="I226" s="63"/>
      <c r="J226" s="63"/>
      <c r="K226" s="63"/>
      <c r="L226" s="67"/>
      <c r="M226" s="67"/>
      <c r="N226" s="67"/>
      <c r="O226" s="63"/>
      <c r="P226" s="63"/>
      <c r="Q226" s="63"/>
      <c r="R226" s="63"/>
      <c r="S226" s="63"/>
      <c r="T226" s="63"/>
      <c r="U226" s="68"/>
    </row>
    <row r="227" spans="1:21">
      <c r="A227" s="69"/>
      <c r="B227" s="53"/>
      <c r="C227" s="53"/>
      <c r="D227" s="18"/>
      <c r="E227" s="55"/>
      <c r="F227" s="56"/>
      <c r="G227" s="17"/>
      <c r="H227" s="53"/>
      <c r="I227" s="18"/>
      <c r="J227" s="18"/>
      <c r="K227" s="18"/>
      <c r="L227" s="47"/>
      <c r="M227" s="47"/>
      <c r="N227" s="47"/>
      <c r="S227" s="18"/>
      <c r="T227" s="18"/>
      <c r="U227" s="70"/>
    </row>
    <row r="228" spans="1:21" ht="48" customHeight="1">
      <c r="A228" s="69"/>
      <c r="B228" s="18"/>
      <c r="C228" s="18"/>
      <c r="D228" s="18"/>
      <c r="E228" s="36"/>
      <c r="F228" s="45"/>
      <c r="G228" s="46"/>
      <c r="H228" s="57"/>
      <c r="I228" s="18"/>
      <c r="J228" s="18"/>
      <c r="K228" s="18"/>
      <c r="L228" s="47"/>
      <c r="M228" s="47"/>
      <c r="N228" s="47"/>
      <c r="Q228" s="51"/>
      <c r="S228" s="52">
        <v>1</v>
      </c>
      <c r="T228" s="80" t="s">
        <v>2147</v>
      </c>
      <c r="U228" s="97">
        <v>15</v>
      </c>
    </row>
    <row r="229" spans="1:21" ht="43.5" customHeight="1">
      <c r="A229" s="69"/>
      <c r="B229" s="34"/>
      <c r="C229" s="34"/>
      <c r="D229" s="34"/>
      <c r="E229" s="34"/>
      <c r="F229" s="34"/>
      <c r="G229" s="34"/>
      <c r="H229" s="53"/>
      <c r="I229" s="18"/>
      <c r="J229" s="18"/>
      <c r="K229" s="18"/>
      <c r="L229" s="47"/>
      <c r="M229" s="47"/>
      <c r="N229" s="47"/>
      <c r="P229" s="48"/>
      <c r="S229" s="18"/>
      <c r="T229" s="18"/>
      <c r="U229" s="70"/>
    </row>
    <row r="230" spans="1:21" ht="11.25" customHeight="1">
      <c r="A230" s="69"/>
      <c r="B230" s="32"/>
      <c r="C230" s="32"/>
      <c r="D230" s="33"/>
      <c r="E230" s="33"/>
      <c r="F230" s="33"/>
      <c r="G230" s="33"/>
      <c r="H230" s="53"/>
      <c r="I230" s="18"/>
      <c r="J230" s="18"/>
      <c r="K230" s="18"/>
      <c r="L230" s="47"/>
      <c r="M230" s="47"/>
      <c r="N230" s="47"/>
      <c r="S230" s="18"/>
      <c r="T230" s="18"/>
      <c r="U230" s="70"/>
    </row>
    <row r="231" spans="1:21" ht="87.75" customHeight="1">
      <c r="A231" s="69"/>
      <c r="B231" s="58" t="s">
        <v>2145</v>
      </c>
      <c r="C231" s="18"/>
      <c r="D231" s="35"/>
      <c r="E231" s="35"/>
      <c r="F231" s="35"/>
      <c r="G231" s="35"/>
      <c r="H231" s="59"/>
      <c r="I231" s="18"/>
      <c r="J231" s="18"/>
      <c r="K231" s="18"/>
      <c r="L231" s="47"/>
      <c r="M231" s="47"/>
      <c r="N231" s="47"/>
      <c r="S231" s="18"/>
      <c r="T231" s="18"/>
      <c r="U231" s="70"/>
    </row>
    <row r="232" spans="1:21" s="19" customFormat="1" ht="250.5" customHeight="1">
      <c r="A232" s="71"/>
      <c r="B232" s="61" t="s">
        <v>584</v>
      </c>
      <c r="C232" s="49"/>
      <c r="D232" s="60"/>
      <c r="E232" s="60"/>
      <c r="F232" s="60"/>
      <c r="G232" s="60"/>
      <c r="H232" s="54"/>
      <c r="I232" s="49"/>
      <c r="J232" s="49"/>
      <c r="K232" s="49"/>
      <c r="L232" s="52"/>
      <c r="M232" s="52"/>
      <c r="N232" s="52"/>
      <c r="O232" s="49"/>
      <c r="P232" s="49"/>
      <c r="Q232" s="51"/>
      <c r="R232" s="49"/>
      <c r="S232" s="49"/>
      <c r="T232" s="49"/>
      <c r="U232" s="72"/>
    </row>
    <row r="233" spans="1:21" ht="139.5" customHeight="1">
      <c r="A233" s="69"/>
      <c r="B233" s="82" t="s">
        <v>2453</v>
      </c>
      <c r="C233" s="94" t="s">
        <v>2153</v>
      </c>
      <c r="D233" s="95"/>
      <c r="E233" s="95"/>
      <c r="F233" s="95"/>
      <c r="G233" s="95"/>
      <c r="H233" s="83"/>
      <c r="I233" s="84"/>
      <c r="J233" s="84"/>
      <c r="K233" s="84"/>
      <c r="L233" s="84"/>
      <c r="M233" s="84"/>
      <c r="N233" s="84"/>
      <c r="O233" s="84"/>
      <c r="P233" s="85"/>
      <c r="Q233" s="84"/>
      <c r="R233" s="84"/>
      <c r="S233" s="84"/>
      <c r="T233" s="84"/>
      <c r="U233" s="86"/>
    </row>
    <row r="234" spans="1:21" ht="163.5" customHeight="1">
      <c r="A234" s="69"/>
      <c r="B234" s="82" t="s">
        <v>2402</v>
      </c>
      <c r="C234" s="92">
        <v>44287</v>
      </c>
      <c r="D234" s="93"/>
      <c r="E234" s="93"/>
      <c r="F234" s="93"/>
      <c r="G234" s="93"/>
      <c r="H234" s="87"/>
      <c r="I234" s="84"/>
      <c r="J234" s="84"/>
      <c r="K234" s="84"/>
      <c r="L234" s="84"/>
      <c r="M234" s="84"/>
      <c r="N234" s="84"/>
      <c r="O234" s="84"/>
      <c r="P234" s="84"/>
      <c r="Q234" s="88"/>
      <c r="R234" s="84"/>
      <c r="S234" s="84"/>
      <c r="T234" s="84"/>
      <c r="U234" s="86"/>
    </row>
    <row r="235" spans="1:21" ht="117.75" customHeight="1">
      <c r="A235" s="69"/>
      <c r="B235" s="82" t="s">
        <v>498</v>
      </c>
      <c r="C235" s="96" t="s">
        <v>585</v>
      </c>
      <c r="D235" s="31"/>
      <c r="E235" s="31"/>
      <c r="F235" s="31"/>
      <c r="G235" s="31"/>
      <c r="H235" s="89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6"/>
    </row>
    <row r="236" spans="1:21" ht="201.75" customHeight="1">
      <c r="A236" s="69"/>
      <c r="B236" s="82" t="s">
        <v>499</v>
      </c>
      <c r="C236" s="90">
        <v>500</v>
      </c>
      <c r="D236" s="91"/>
      <c r="E236" s="91"/>
      <c r="F236" s="91"/>
      <c r="G236" s="91"/>
      <c r="H236" s="89"/>
      <c r="I236" s="84"/>
      <c r="J236" s="84"/>
      <c r="K236" s="84"/>
      <c r="L236" s="84"/>
      <c r="M236" s="84"/>
      <c r="N236" s="84"/>
      <c r="O236" s="84"/>
      <c r="P236" s="85"/>
      <c r="Q236" s="84"/>
      <c r="R236" s="84"/>
      <c r="S236" s="84"/>
      <c r="T236" s="84"/>
      <c r="U236" s="86"/>
    </row>
    <row r="237" spans="1:21" ht="35.25">
      <c r="A237" s="73"/>
      <c r="B237" s="18"/>
      <c r="C237" s="18"/>
      <c r="D237" s="37" t="s">
        <v>2148</v>
      </c>
      <c r="E237" s="55"/>
      <c r="F237" s="56"/>
      <c r="G237" s="17"/>
      <c r="H237" s="18"/>
      <c r="I237" s="18"/>
      <c r="J237" s="18"/>
      <c r="K237" s="18"/>
      <c r="L237" s="47"/>
      <c r="M237" s="47"/>
      <c r="N237" s="47"/>
      <c r="S237" s="18"/>
      <c r="T237" s="18"/>
      <c r="U237" s="70"/>
    </row>
    <row r="238" spans="1:21" ht="9" customHeight="1">
      <c r="A238" s="73"/>
      <c r="B238" s="18"/>
      <c r="C238" s="18"/>
      <c r="D238" s="18"/>
      <c r="E238" s="55"/>
      <c r="F238" s="56"/>
      <c r="G238" s="17"/>
      <c r="H238" s="18"/>
      <c r="I238" s="18"/>
      <c r="J238" s="18"/>
      <c r="K238" s="18"/>
      <c r="L238" s="47"/>
      <c r="M238" s="47"/>
      <c r="N238" s="47"/>
      <c r="S238" s="18"/>
      <c r="T238" s="18"/>
      <c r="U238" s="70"/>
    </row>
    <row r="239" spans="1:21" s="18" customFormat="1">
      <c r="A239" s="73"/>
      <c r="E239" s="55"/>
      <c r="F239" s="56"/>
      <c r="G239" s="17"/>
      <c r="U239" s="70"/>
    </row>
    <row r="240" spans="1:21" ht="9" customHeight="1" thickBot="1">
      <c r="A240" s="74"/>
      <c r="B240" s="75"/>
      <c r="C240" s="75"/>
      <c r="D240" s="75"/>
      <c r="E240" s="76"/>
      <c r="F240" s="77"/>
      <c r="G240" s="78"/>
      <c r="H240" s="75"/>
      <c r="I240" s="75"/>
      <c r="J240" s="75"/>
      <c r="K240" s="75"/>
      <c r="L240" s="81"/>
      <c r="M240" s="81"/>
      <c r="N240" s="81"/>
      <c r="O240" s="75"/>
      <c r="P240" s="75"/>
      <c r="Q240" s="75"/>
      <c r="R240" s="75"/>
      <c r="S240" s="75"/>
      <c r="T240" s="75"/>
      <c r="U240" s="79"/>
    </row>
  </sheetData>
  <protectedRanges>
    <protectedRange sqref="C10 G9:G10 C811 G810:G811 C824 G823:G824 C837 G836:G837 C850 G849:G850 C447 G446:G447 C460 G459:G460 C473 G472:G473 C486 G485:G486 C499 G498:G499 C512 G511:G512 C525 G524:G525 C538 G537:G538 C551 G550:G551 C564 G563:G564 C577 G576:G577 C590 G589:G590 C603 G602:G603 C616 G615:G616 C629 G628:G629 C642 G641:G642 C655 G654:G655 C668 G667:G668 C681 G680:G681 C694 G693:G694 C707 G706:G707 C720 G719:G720 C733 G732:G733 C746 G745:G746 C759 G758:G759 C772 G771:G772 C785 G784:G785 C798 G797:G798 C369 G368:G369 C382 G381:G382 C395 G394:G395 C408 G407:G408 C421 G420:G421 C434 G433:G434 C252 G251:G252 C265 G264:G265 C278 G277:G278 C291 G290:G291 C304 G303:G304 C317 G316:G317 C330 G329:G330 C343 G342:G343 C356 G355:G356 C25 G24:G25 C40 G39:G40 C55 G54:G55 C70 G69:G70 C85 G84:G85 C100 G99:G100 C115 G114:G115 C130 G129:G130 C145 G144:G145 C160 G159:G160 C175 G174:G175 C190 G189:G190 C205 G204:G205 C220 G219:G220 C235 G234:G235" name="Range1_2"/>
  </protectedRanges>
  <mergeCells count="48">
    <mergeCell ref="C234:G234"/>
    <mergeCell ref="C236:G236"/>
    <mergeCell ref="C206:G206"/>
    <mergeCell ref="C218:G218"/>
    <mergeCell ref="C219:G219"/>
    <mergeCell ref="C221:G221"/>
    <mergeCell ref="C233:G233"/>
    <mergeCell ref="C188:G188"/>
    <mergeCell ref="C189:G189"/>
    <mergeCell ref="C191:G191"/>
    <mergeCell ref="C203:G203"/>
    <mergeCell ref="C204:G204"/>
    <mergeCell ref="C159:G159"/>
    <mergeCell ref="C161:G161"/>
    <mergeCell ref="C173:G173"/>
    <mergeCell ref="C174:G174"/>
    <mergeCell ref="C176:G176"/>
    <mergeCell ref="C131:G131"/>
    <mergeCell ref="C143:G143"/>
    <mergeCell ref="C144:G144"/>
    <mergeCell ref="C146:G146"/>
    <mergeCell ref="C158:G158"/>
    <mergeCell ref="C113:G113"/>
    <mergeCell ref="C114:G114"/>
    <mergeCell ref="C116:G116"/>
    <mergeCell ref="C128:G128"/>
    <mergeCell ref="C129:G129"/>
    <mergeCell ref="C84:G84"/>
    <mergeCell ref="C86:G86"/>
    <mergeCell ref="C98:G98"/>
    <mergeCell ref="C99:G99"/>
    <mergeCell ref="C101:G101"/>
    <mergeCell ref="C56:G56"/>
    <mergeCell ref="C68:G68"/>
    <mergeCell ref="C69:G69"/>
    <mergeCell ref="C71:G71"/>
    <mergeCell ref="C83:G83"/>
    <mergeCell ref="C38:G38"/>
    <mergeCell ref="C39:G39"/>
    <mergeCell ref="C41:G41"/>
    <mergeCell ref="C53:G53"/>
    <mergeCell ref="C54:G54"/>
    <mergeCell ref="C26:G26"/>
    <mergeCell ref="C24:G24"/>
    <mergeCell ref="C8:G8"/>
    <mergeCell ref="C9:G9"/>
    <mergeCell ref="C11:G11"/>
    <mergeCell ref="C23:G23"/>
  </mergeCells>
  <conditionalFormatting sqref="C9:C10">
    <cfRule type="cellIs" dxfId="15" priority="971" stopIfTrue="1" operator="equal">
      <formula>0</formula>
    </cfRule>
  </conditionalFormatting>
  <conditionalFormatting sqref="C24:C25">
    <cfRule type="cellIs" dxfId="14" priority="15" stopIfTrue="1" operator="equal">
      <formula>0</formula>
    </cfRule>
  </conditionalFormatting>
  <conditionalFormatting sqref="C39:C40">
    <cfRule type="cellIs" dxfId="13" priority="14" stopIfTrue="1" operator="equal">
      <formula>0</formula>
    </cfRule>
  </conditionalFormatting>
  <conditionalFormatting sqref="C54:C55">
    <cfRule type="cellIs" dxfId="12" priority="13" stopIfTrue="1" operator="equal">
      <formula>0</formula>
    </cfRule>
  </conditionalFormatting>
  <conditionalFormatting sqref="C69:C70">
    <cfRule type="cellIs" dxfId="11" priority="12" stopIfTrue="1" operator="equal">
      <formula>0</formula>
    </cfRule>
  </conditionalFormatting>
  <conditionalFormatting sqref="C84:C85">
    <cfRule type="cellIs" dxfId="10" priority="11" stopIfTrue="1" operator="equal">
      <formula>0</formula>
    </cfRule>
  </conditionalFormatting>
  <conditionalFormatting sqref="C99:C100">
    <cfRule type="cellIs" dxfId="9" priority="10" stopIfTrue="1" operator="equal">
      <formula>0</formula>
    </cfRule>
  </conditionalFormatting>
  <conditionalFormatting sqref="C114:C115">
    <cfRule type="cellIs" dxfId="8" priority="9" stopIfTrue="1" operator="equal">
      <formula>0</formula>
    </cfRule>
  </conditionalFormatting>
  <conditionalFormatting sqref="C129:C130">
    <cfRule type="cellIs" dxfId="7" priority="8" stopIfTrue="1" operator="equal">
      <formula>0</formula>
    </cfRule>
  </conditionalFormatting>
  <conditionalFormatting sqref="C144:C145">
    <cfRule type="cellIs" dxfId="6" priority="7" stopIfTrue="1" operator="equal">
      <formula>0</formula>
    </cfRule>
  </conditionalFormatting>
  <conditionalFormatting sqref="C159:C160">
    <cfRule type="cellIs" dxfId="5" priority="6" stopIfTrue="1" operator="equal">
      <formula>0</formula>
    </cfRule>
  </conditionalFormatting>
  <conditionalFormatting sqref="C174:C175">
    <cfRule type="cellIs" dxfId="4" priority="5" stopIfTrue="1" operator="equal">
      <formula>0</formula>
    </cfRule>
  </conditionalFormatting>
  <conditionalFormatting sqref="C189:C190">
    <cfRule type="cellIs" dxfId="3" priority="4" stopIfTrue="1" operator="equal">
      <formula>0</formula>
    </cfRule>
  </conditionalFormatting>
  <conditionalFormatting sqref="C204:C205">
    <cfRule type="cellIs" dxfId="2" priority="3" stopIfTrue="1" operator="equal">
      <formula>0</formula>
    </cfRule>
  </conditionalFormatting>
  <conditionalFormatting sqref="C219:C220">
    <cfRule type="cellIs" dxfId="1" priority="2" stopIfTrue="1" operator="equal">
      <formula>0</formula>
    </cfRule>
  </conditionalFormatting>
  <conditionalFormatting sqref="C234:C235">
    <cfRule type="cellIs" dxfId="0" priority="1" stopIfTrue="1" operator="equal">
      <formula>0</formula>
    </cfRule>
  </conditionalFormatting>
  <printOptions horizontalCentered="1" verticalCentered="1"/>
  <pageMargins left="0.25" right="0.25" top="0.25" bottom="0.25" header="0.3" footer="0.3"/>
  <pageSetup paperSize="9" scale="50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40"/>
  <sheetViews>
    <sheetView topLeftCell="A86" zoomScaleNormal="100" workbookViewId="0">
      <selection activeCell="B152" sqref="B152"/>
    </sheetView>
  </sheetViews>
  <sheetFormatPr defaultRowHeight="15"/>
  <cols>
    <col min="1" max="1" width="18.85546875" style="2" customWidth="1"/>
    <col min="2" max="2" width="56.42578125" bestFit="1" customWidth="1"/>
    <col min="3" max="3" width="21.42578125" style="2" customWidth="1"/>
    <col min="4" max="4" width="27.7109375" style="7" customWidth="1"/>
    <col min="5" max="5" width="43.7109375" style="2" customWidth="1"/>
    <col min="6" max="6" width="17.42578125" style="2" customWidth="1"/>
    <col min="7" max="8" width="13.5703125" style="4" customWidth="1"/>
    <col min="9" max="9" width="29.7109375" customWidth="1"/>
  </cols>
  <sheetData>
    <row r="1" spans="1:9" ht="15.75" customHeight="1">
      <c r="A1" s="2" t="s">
        <v>4</v>
      </c>
      <c r="B1" s="30"/>
      <c r="C1" s="2" t="str">
        <f>LEFT(Recive!E9,11)</f>
        <v/>
      </c>
      <c r="D1" s="7" t="str">
        <f>MID(B1,12,10)</f>
        <v/>
      </c>
      <c r="E1" s="2" t="e">
        <f>VLOOKUP(C1,'Total Stock In'!B:C,2,0)</f>
        <v>#N/A</v>
      </c>
      <c r="F1" s="7" t="str">
        <f>MID(Recive!E9,22,1) &amp; "/" &amp; RIGHT(Recive!E9,1)</f>
        <v>/</v>
      </c>
      <c r="G1" s="4">
        <f>Recive!E10</f>
        <v>0</v>
      </c>
      <c r="H1" s="4">
        <f>Recive!E11</f>
        <v>0</v>
      </c>
      <c r="I1" s="30"/>
    </row>
    <row r="2" spans="1:9">
      <c r="A2" s="6" t="s">
        <v>4</v>
      </c>
      <c r="B2" s="6" t="s">
        <v>418</v>
      </c>
      <c r="C2" s="6" t="s">
        <v>0</v>
      </c>
      <c r="D2" s="10" t="s">
        <v>2</v>
      </c>
      <c r="E2" s="6" t="s">
        <v>1</v>
      </c>
      <c r="F2" s="6" t="s">
        <v>417</v>
      </c>
      <c r="G2" s="9" t="s">
        <v>3</v>
      </c>
      <c r="H2" s="9" t="s">
        <v>513</v>
      </c>
    </row>
    <row r="3" spans="1:9">
      <c r="A3" s="5">
        <v>44051.16070601852</v>
      </c>
      <c r="B3" t="s">
        <v>496</v>
      </c>
      <c r="C3" s="2" t="s">
        <v>291</v>
      </c>
      <c r="D3" s="7">
        <v>12345</v>
      </c>
      <c r="E3" s="2" t="s">
        <v>292</v>
      </c>
      <c r="F3" s="8" t="s">
        <v>494</v>
      </c>
      <c r="G3" s="4">
        <v>1000</v>
      </c>
    </row>
    <row r="4" spans="1:9">
      <c r="A4" s="5">
        <v>44051.16070601852</v>
      </c>
      <c r="B4" t="s">
        <v>497</v>
      </c>
      <c r="C4" s="2" t="s">
        <v>291</v>
      </c>
      <c r="D4" s="7">
        <v>12345</v>
      </c>
      <c r="E4" s="2" t="s">
        <v>292</v>
      </c>
      <c r="F4" s="8" t="s">
        <v>495</v>
      </c>
      <c r="G4" s="4">
        <v>500</v>
      </c>
    </row>
    <row r="5" spans="1:9">
      <c r="A5" s="5">
        <v>44073.112384259257</v>
      </c>
      <c r="B5" t="s">
        <v>508</v>
      </c>
      <c r="C5" s="2" t="s">
        <v>291</v>
      </c>
      <c r="D5" s="7" t="s">
        <v>505</v>
      </c>
      <c r="E5" s="2" t="s">
        <v>292</v>
      </c>
      <c r="F5" s="8" t="s">
        <v>493</v>
      </c>
      <c r="G5" s="4">
        <v>500</v>
      </c>
    </row>
    <row r="6" spans="1:9">
      <c r="A6" s="5">
        <v>44073.002071759256</v>
      </c>
      <c r="B6" t="s">
        <v>503</v>
      </c>
      <c r="C6" s="2" t="s">
        <v>53</v>
      </c>
      <c r="D6" s="7" t="s">
        <v>505</v>
      </c>
      <c r="E6" s="2" t="s">
        <v>54</v>
      </c>
      <c r="F6" s="8" t="s">
        <v>504</v>
      </c>
      <c r="G6" s="4">
        <v>1000</v>
      </c>
    </row>
    <row r="7" spans="1:9">
      <c r="A7" s="5">
        <v>44158.499328703707</v>
      </c>
      <c r="B7" t="s">
        <v>509</v>
      </c>
      <c r="C7" s="2" t="s">
        <v>291</v>
      </c>
      <c r="D7" s="7" t="s">
        <v>505</v>
      </c>
      <c r="E7" s="2" t="s">
        <v>292</v>
      </c>
      <c r="F7" s="8" t="s">
        <v>510</v>
      </c>
      <c r="G7" s="4">
        <v>100</v>
      </c>
    </row>
    <row r="8" spans="1:9">
      <c r="A8" s="5">
        <v>44158.502152777779</v>
      </c>
      <c r="B8" t="s">
        <v>511</v>
      </c>
      <c r="C8" s="2" t="s">
        <v>291</v>
      </c>
      <c r="D8" s="7">
        <v>45678</v>
      </c>
      <c r="E8" s="2" t="s">
        <v>292</v>
      </c>
      <c r="F8" s="8" t="s">
        <v>504</v>
      </c>
      <c r="G8" s="4">
        <v>300</v>
      </c>
    </row>
    <row r="9" spans="1:9">
      <c r="A9" s="5">
        <v>44158.503935185188</v>
      </c>
      <c r="B9" t="s">
        <v>512</v>
      </c>
      <c r="C9" s="2" t="s">
        <v>291</v>
      </c>
      <c r="D9" s="7">
        <v>45678</v>
      </c>
      <c r="E9" s="2" t="s">
        <v>292</v>
      </c>
      <c r="F9" s="8" t="s">
        <v>510</v>
      </c>
      <c r="G9" s="4">
        <v>600</v>
      </c>
    </row>
    <row r="10" spans="1:9">
      <c r="A10" s="5">
        <v>44159.622407407405</v>
      </c>
      <c r="B10" t="s">
        <v>2141</v>
      </c>
      <c r="C10" s="2" t="s">
        <v>239</v>
      </c>
      <c r="D10" s="7" t="s">
        <v>505</v>
      </c>
      <c r="E10" s="2" t="s">
        <v>240</v>
      </c>
      <c r="F10" s="8" t="s">
        <v>510</v>
      </c>
      <c r="G10" s="4">
        <v>1500</v>
      </c>
      <c r="H10" s="4" t="s">
        <v>2142</v>
      </c>
    </row>
    <row r="11" spans="1:9">
      <c r="A11" s="5">
        <v>44159.632604166669</v>
      </c>
      <c r="B11" t="s">
        <v>2143</v>
      </c>
      <c r="C11" s="2" t="s">
        <v>239</v>
      </c>
      <c r="D11" s="7" t="s">
        <v>505</v>
      </c>
      <c r="E11" s="2" t="s">
        <v>240</v>
      </c>
      <c r="F11" s="8" t="s">
        <v>504</v>
      </c>
      <c r="G11" s="4">
        <v>1500</v>
      </c>
      <c r="H11" s="4" t="s">
        <v>515</v>
      </c>
    </row>
    <row r="12" spans="1:9">
      <c r="A12" s="5">
        <v>44161.348634259259</v>
      </c>
      <c r="B12" t="s">
        <v>2149</v>
      </c>
      <c r="C12" s="2">
        <v>0</v>
      </c>
      <c r="D12" s="7">
        <v>13</v>
      </c>
      <c r="E12" s="2" t="e">
        <v>#N/A</v>
      </c>
      <c r="F12" s="8"/>
      <c r="G12" s="4">
        <v>100</v>
      </c>
      <c r="H12" s="4" t="s">
        <v>2150</v>
      </c>
    </row>
    <row r="13" spans="1:9">
      <c r="A13" s="5">
        <v>44161.349178240744</v>
      </c>
      <c r="B13" t="s">
        <v>2152</v>
      </c>
      <c r="C13" s="2">
        <v>0</v>
      </c>
      <c r="D13" s="38" t="s">
        <v>2153</v>
      </c>
      <c r="E13" s="2" t="e">
        <v>#N/A</v>
      </c>
      <c r="F13" s="8" t="s">
        <v>510</v>
      </c>
      <c r="G13" s="4">
        <v>100</v>
      </c>
      <c r="H13" s="4" t="s">
        <v>2151</v>
      </c>
    </row>
    <row r="14" spans="1:9">
      <c r="A14" s="5">
        <v>44162.471770833334</v>
      </c>
      <c r="B14" t="s">
        <v>2154</v>
      </c>
      <c r="C14" s="2">
        <v>0</v>
      </c>
      <c r="D14" s="7" t="s">
        <v>4</v>
      </c>
      <c r="E14" s="2">
        <v>0</v>
      </c>
      <c r="G14" s="4" t="e">
        <v>#N/A</v>
      </c>
      <c r="H14" s="39" t="s">
        <v>2155</v>
      </c>
    </row>
    <row r="15" spans="1:9">
      <c r="A15" s="5">
        <v>44162.494583333333</v>
      </c>
      <c r="B15" t="s">
        <v>2156</v>
      </c>
      <c r="C15" s="2">
        <v>1</v>
      </c>
      <c r="D15" s="7">
        <v>0</v>
      </c>
      <c r="E15" s="2">
        <v>2</v>
      </c>
      <c r="G15" s="4" t="e">
        <v>#N/A</v>
      </c>
      <c r="H15" s="39" t="s">
        <v>504</v>
      </c>
    </row>
    <row r="16" spans="1:9">
      <c r="A16" s="5">
        <v>44162.498993055553</v>
      </c>
      <c r="B16" t="s">
        <v>2157</v>
      </c>
      <c r="C16" s="2">
        <v>3</v>
      </c>
      <c r="D16" s="7">
        <v>0</v>
      </c>
      <c r="E16" s="2">
        <v>2</v>
      </c>
      <c r="G16" s="4" t="s">
        <v>229</v>
      </c>
      <c r="H16" s="39" t="s">
        <v>2158</v>
      </c>
    </row>
    <row r="17" spans="1:8">
      <c r="A17" s="5">
        <v>44162.568703703706</v>
      </c>
      <c r="B17" t="s">
        <v>2161</v>
      </c>
      <c r="C17" s="2" t="s">
        <v>228</v>
      </c>
      <c r="D17" s="7">
        <v>1</v>
      </c>
      <c r="E17" s="2" t="s">
        <v>240</v>
      </c>
      <c r="F17" s="2">
        <v>7</v>
      </c>
    </row>
    <row r="18" spans="1:8">
      <c r="A18" s="5">
        <v>44162.570081018515</v>
      </c>
      <c r="B18" t="s">
        <v>2162</v>
      </c>
      <c r="C18" s="2" t="s">
        <v>228</v>
      </c>
      <c r="D18" s="7">
        <v>2</v>
      </c>
    </row>
    <row r="19" spans="1:8">
      <c r="A19" s="5">
        <v>44162.571932870371</v>
      </c>
      <c r="B19" t="s">
        <v>2163</v>
      </c>
      <c r="C19" s="2" t="s">
        <v>228</v>
      </c>
      <c r="D19" s="7">
        <v>3</v>
      </c>
    </row>
    <row r="20" spans="1:8">
      <c r="A20" s="5">
        <v>44162.579062500001</v>
      </c>
      <c r="B20" t="s">
        <v>2160</v>
      </c>
      <c r="C20" s="2" t="s">
        <v>228</v>
      </c>
      <c r="D20" s="38" t="s">
        <v>2153</v>
      </c>
      <c r="E20" s="2" t="s">
        <v>229</v>
      </c>
      <c r="F20" s="8" t="s">
        <v>2164</v>
      </c>
      <c r="G20" s="4">
        <v>2222</v>
      </c>
      <c r="H20" s="4" t="s">
        <v>2159</v>
      </c>
    </row>
    <row r="21" spans="1:8">
      <c r="A21" s="5">
        <v>44165.415393518517</v>
      </c>
      <c r="B21" t="s">
        <v>2166</v>
      </c>
      <c r="C21" s="2" t="s">
        <v>432</v>
      </c>
      <c r="D21" s="38" t="s">
        <v>2153</v>
      </c>
      <c r="E21" s="2" t="s">
        <v>469</v>
      </c>
      <c r="F21" s="42" t="s">
        <v>510</v>
      </c>
      <c r="G21" s="4">
        <v>900</v>
      </c>
      <c r="H21" s="4" t="s">
        <v>2167</v>
      </c>
    </row>
    <row r="22" spans="1:8">
      <c r="A22" s="5">
        <v>44165.420185185183</v>
      </c>
      <c r="B22" t="s">
        <v>2171</v>
      </c>
      <c r="C22" s="2" t="s">
        <v>347</v>
      </c>
      <c r="D22" s="38" t="s">
        <v>2153</v>
      </c>
      <c r="E22" s="2" t="s">
        <v>348</v>
      </c>
      <c r="F22" s="8" t="s">
        <v>2173</v>
      </c>
      <c r="G22" s="4">
        <v>900</v>
      </c>
      <c r="H22" s="4" t="s">
        <v>2169</v>
      </c>
    </row>
    <row r="23" spans="1:8">
      <c r="A23" s="5">
        <v>44165.420335648145</v>
      </c>
      <c r="B23" t="s">
        <v>2172</v>
      </c>
      <c r="C23" s="2" t="s">
        <v>212</v>
      </c>
      <c r="D23" s="38" t="s">
        <v>2153</v>
      </c>
      <c r="E23" s="2" t="s">
        <v>213</v>
      </c>
      <c r="F23" s="8" t="s">
        <v>2175</v>
      </c>
      <c r="G23" s="4">
        <v>900</v>
      </c>
      <c r="H23" s="4" t="s">
        <v>2174</v>
      </c>
    </row>
    <row r="24" spans="1:8">
      <c r="A24" s="5">
        <v>44165.420648148145</v>
      </c>
      <c r="B24" t="s">
        <v>2176</v>
      </c>
      <c r="C24" s="2" t="s">
        <v>212</v>
      </c>
      <c r="D24" s="38" t="s">
        <v>2153</v>
      </c>
      <c r="E24" s="2" t="s">
        <v>213</v>
      </c>
      <c r="F24" s="8" t="s">
        <v>2178</v>
      </c>
      <c r="G24" s="4">
        <v>900</v>
      </c>
      <c r="H24" s="4" t="s">
        <v>2177</v>
      </c>
    </row>
    <row r="25" spans="1:8">
      <c r="A25" s="5">
        <v>44165.42082175926</v>
      </c>
      <c r="B25" t="s">
        <v>2168</v>
      </c>
      <c r="C25" s="2" t="s">
        <v>347</v>
      </c>
      <c r="D25" s="38" t="s">
        <v>2153</v>
      </c>
      <c r="E25" s="2" t="s">
        <v>348</v>
      </c>
      <c r="F25" s="8" t="s">
        <v>2179</v>
      </c>
      <c r="G25" s="4">
        <v>900</v>
      </c>
      <c r="H25" s="4" t="s">
        <v>2170</v>
      </c>
    </row>
    <row r="26" spans="1:8">
      <c r="A26" s="5">
        <v>44165.421087962961</v>
      </c>
      <c r="B26" t="s">
        <v>2180</v>
      </c>
      <c r="C26" s="2" t="s">
        <v>212</v>
      </c>
      <c r="D26" s="38" t="s">
        <v>2153</v>
      </c>
      <c r="E26" s="2" t="s">
        <v>213</v>
      </c>
      <c r="F26" s="8" t="s">
        <v>2182</v>
      </c>
      <c r="G26" s="4">
        <v>900</v>
      </c>
      <c r="H26" s="4" t="s">
        <v>2181</v>
      </c>
    </row>
    <row r="27" spans="1:8">
      <c r="A27" s="5">
        <v>44165.421400462961</v>
      </c>
      <c r="B27" t="s">
        <v>2183</v>
      </c>
      <c r="C27" s="2" t="s">
        <v>212</v>
      </c>
      <c r="D27" s="38" t="s">
        <v>2153</v>
      </c>
      <c r="E27" s="2" t="s">
        <v>213</v>
      </c>
      <c r="F27" s="8" t="s">
        <v>2185</v>
      </c>
      <c r="G27" s="4">
        <v>900</v>
      </c>
      <c r="H27" s="4" t="s">
        <v>2184</v>
      </c>
    </row>
    <row r="28" spans="1:8">
      <c r="A28" s="5">
        <v>44165.421620370369</v>
      </c>
      <c r="B28" t="s">
        <v>2186</v>
      </c>
      <c r="C28" s="2" t="s">
        <v>212</v>
      </c>
      <c r="D28" s="38" t="s">
        <v>2153</v>
      </c>
      <c r="E28" s="2" t="s">
        <v>213</v>
      </c>
      <c r="F28" s="8" t="s">
        <v>2188</v>
      </c>
      <c r="G28" s="4">
        <v>900</v>
      </c>
      <c r="H28" s="4" t="s">
        <v>2187</v>
      </c>
    </row>
    <row r="29" spans="1:8">
      <c r="A29" s="5">
        <v>44165.421747685185</v>
      </c>
      <c r="B29" t="s">
        <v>2189</v>
      </c>
      <c r="C29" s="2" t="s">
        <v>212</v>
      </c>
      <c r="D29" s="38" t="s">
        <v>2153</v>
      </c>
      <c r="E29" s="2" t="s">
        <v>213</v>
      </c>
      <c r="F29" s="8" t="s">
        <v>2191</v>
      </c>
      <c r="G29" s="4">
        <v>900</v>
      </c>
      <c r="H29" s="4" t="s">
        <v>2190</v>
      </c>
    </row>
    <row r="30" spans="1:8">
      <c r="A30" s="5">
        <v>44165.421909722223</v>
      </c>
      <c r="B30" t="s">
        <v>2192</v>
      </c>
      <c r="C30" s="2" t="s">
        <v>212</v>
      </c>
      <c r="D30" s="38" t="s">
        <v>2153</v>
      </c>
      <c r="E30" s="2" t="s">
        <v>213</v>
      </c>
      <c r="F30" s="8" t="s">
        <v>2194</v>
      </c>
      <c r="G30" s="4">
        <v>900</v>
      </c>
      <c r="H30" s="4" t="s">
        <v>2193</v>
      </c>
    </row>
    <row r="31" spans="1:8">
      <c r="A31" s="5">
        <v>44165.423726851855</v>
      </c>
      <c r="B31" t="s">
        <v>2195</v>
      </c>
      <c r="C31" s="2" t="s">
        <v>212</v>
      </c>
      <c r="D31" s="38" t="s">
        <v>2153</v>
      </c>
      <c r="E31" s="2" t="s">
        <v>213</v>
      </c>
      <c r="F31" s="8" t="s">
        <v>2197</v>
      </c>
      <c r="G31" s="4">
        <v>900</v>
      </c>
      <c r="H31" s="4" t="s">
        <v>2196</v>
      </c>
    </row>
    <row r="32" spans="1:8">
      <c r="A32" s="5">
        <v>44165.424155092594</v>
      </c>
      <c r="B32" t="s">
        <v>2198</v>
      </c>
      <c r="C32" s="2" t="s">
        <v>212</v>
      </c>
      <c r="D32" s="38" t="s">
        <v>2153</v>
      </c>
      <c r="E32" s="2" t="s">
        <v>213</v>
      </c>
      <c r="F32" s="8" t="s">
        <v>2200</v>
      </c>
      <c r="G32" s="4">
        <v>900</v>
      </c>
      <c r="H32" s="4" t="s">
        <v>2199</v>
      </c>
    </row>
    <row r="33" spans="1:8">
      <c r="A33" s="5">
        <v>44165.425254629627</v>
      </c>
      <c r="B33" t="s">
        <v>2201</v>
      </c>
      <c r="C33" s="2" t="s">
        <v>212</v>
      </c>
      <c r="D33" s="38" t="s">
        <v>2153</v>
      </c>
      <c r="E33" s="2" t="s">
        <v>213</v>
      </c>
      <c r="F33" s="8" t="s">
        <v>2203</v>
      </c>
      <c r="G33" s="4">
        <v>900</v>
      </c>
      <c r="H33" s="4" t="s">
        <v>2202</v>
      </c>
    </row>
    <row r="34" spans="1:8">
      <c r="A34" s="5">
        <v>44165.425729166665</v>
      </c>
      <c r="B34" t="s">
        <v>2204</v>
      </c>
      <c r="C34" s="2" t="s">
        <v>420</v>
      </c>
      <c r="D34" s="38" t="s">
        <v>2153</v>
      </c>
      <c r="E34" s="2" t="s">
        <v>457</v>
      </c>
      <c r="F34" s="8" t="s">
        <v>2206</v>
      </c>
      <c r="G34" s="4">
        <v>900</v>
      </c>
      <c r="H34" s="4" t="s">
        <v>2205</v>
      </c>
    </row>
    <row r="35" spans="1:8">
      <c r="A35" s="5">
        <v>44165.426053240742</v>
      </c>
      <c r="B35" t="s">
        <v>2207</v>
      </c>
      <c r="C35" s="2" t="s">
        <v>432</v>
      </c>
      <c r="D35" s="38" t="s">
        <v>2153</v>
      </c>
      <c r="E35" s="2" t="s">
        <v>469</v>
      </c>
      <c r="F35" s="8" t="s">
        <v>2209</v>
      </c>
      <c r="G35" s="4">
        <v>900</v>
      </c>
      <c r="H35" s="4" t="s">
        <v>2208</v>
      </c>
    </row>
    <row r="36" spans="1:8">
      <c r="A36" s="5">
        <v>44165.426307870373</v>
      </c>
      <c r="B36" t="s">
        <v>2210</v>
      </c>
      <c r="C36" s="2" t="s">
        <v>432</v>
      </c>
      <c r="D36" s="38" t="s">
        <v>2153</v>
      </c>
      <c r="E36" s="2" t="s">
        <v>469</v>
      </c>
      <c r="F36" s="8" t="s">
        <v>2212</v>
      </c>
      <c r="G36" s="4">
        <v>900</v>
      </c>
      <c r="H36" s="4" t="s">
        <v>2211</v>
      </c>
    </row>
    <row r="37" spans="1:8">
      <c r="A37" s="5">
        <v>44165.426736111112</v>
      </c>
      <c r="B37" t="s">
        <v>2213</v>
      </c>
      <c r="C37" s="2" t="s">
        <v>432</v>
      </c>
      <c r="D37" s="38" t="s">
        <v>2153</v>
      </c>
      <c r="E37" s="2" t="s">
        <v>469</v>
      </c>
      <c r="F37" s="8" t="s">
        <v>2215</v>
      </c>
      <c r="G37" s="4">
        <v>900</v>
      </c>
      <c r="H37" s="4" t="s">
        <v>2214</v>
      </c>
    </row>
    <row r="38" spans="1:8">
      <c r="A38" s="5">
        <v>44165.426874999997</v>
      </c>
      <c r="B38" t="s">
        <v>2216</v>
      </c>
      <c r="C38" s="2" t="s">
        <v>432</v>
      </c>
      <c r="D38" s="38" t="s">
        <v>2153</v>
      </c>
      <c r="E38" s="2" t="s">
        <v>469</v>
      </c>
      <c r="F38" s="8" t="s">
        <v>2218</v>
      </c>
      <c r="G38" s="4">
        <v>900</v>
      </c>
      <c r="H38" s="4" t="s">
        <v>2217</v>
      </c>
    </row>
    <row r="39" spans="1:8">
      <c r="A39" s="5">
        <v>44165.427002314813</v>
      </c>
      <c r="B39" t="s">
        <v>2219</v>
      </c>
      <c r="C39" s="2" t="s">
        <v>432</v>
      </c>
      <c r="D39" s="38" t="s">
        <v>2153</v>
      </c>
      <c r="E39" s="2" t="s">
        <v>469</v>
      </c>
      <c r="F39" s="8" t="s">
        <v>2221</v>
      </c>
      <c r="G39" s="4">
        <v>900</v>
      </c>
      <c r="H39" s="4" t="s">
        <v>2220</v>
      </c>
    </row>
    <row r="40" spans="1:8">
      <c r="A40" s="5">
        <v>44165.427164351851</v>
      </c>
      <c r="B40" t="s">
        <v>2222</v>
      </c>
      <c r="C40" s="2" t="s">
        <v>432</v>
      </c>
      <c r="D40" s="38" t="s">
        <v>2153</v>
      </c>
      <c r="E40" s="2" t="s">
        <v>469</v>
      </c>
      <c r="F40" s="8" t="s">
        <v>2224</v>
      </c>
      <c r="G40" s="4">
        <v>900</v>
      </c>
      <c r="H40" s="4" t="s">
        <v>2223</v>
      </c>
    </row>
    <row r="41" spans="1:8">
      <c r="A41" s="5">
        <v>44165.427303240744</v>
      </c>
      <c r="B41" t="s">
        <v>2225</v>
      </c>
      <c r="C41" s="2" t="s">
        <v>432</v>
      </c>
      <c r="D41" s="38" t="s">
        <v>2153</v>
      </c>
      <c r="E41" s="2" t="s">
        <v>469</v>
      </c>
      <c r="F41" s="8" t="s">
        <v>2227</v>
      </c>
      <c r="G41" s="4">
        <v>900</v>
      </c>
      <c r="H41" s="4" t="s">
        <v>2226</v>
      </c>
    </row>
    <row r="42" spans="1:8">
      <c r="A42" s="5">
        <v>44165.427430555559</v>
      </c>
      <c r="B42" t="s">
        <v>2228</v>
      </c>
      <c r="C42" s="2" t="s">
        <v>432</v>
      </c>
      <c r="D42" s="38" t="s">
        <v>2153</v>
      </c>
      <c r="E42" s="2" t="s">
        <v>469</v>
      </c>
      <c r="F42" s="8" t="s">
        <v>2230</v>
      </c>
      <c r="G42" s="4">
        <v>900</v>
      </c>
      <c r="H42" s="4" t="s">
        <v>2229</v>
      </c>
    </row>
    <row r="43" spans="1:8">
      <c r="A43" s="5">
        <v>44165.427581018521</v>
      </c>
      <c r="B43" t="s">
        <v>2231</v>
      </c>
      <c r="C43" s="2" t="s">
        <v>212</v>
      </c>
      <c r="D43" s="38" t="s">
        <v>2153</v>
      </c>
      <c r="E43" s="2" t="s">
        <v>213</v>
      </c>
      <c r="F43" s="8" t="s">
        <v>2233</v>
      </c>
      <c r="G43" s="4">
        <v>900</v>
      </c>
      <c r="H43" s="4" t="s">
        <v>2232</v>
      </c>
    </row>
    <row r="44" spans="1:8">
      <c r="A44" s="5">
        <v>44165.427685185183</v>
      </c>
      <c r="B44" t="s">
        <v>2234</v>
      </c>
      <c r="C44" s="2" t="s">
        <v>212</v>
      </c>
      <c r="D44" s="38" t="s">
        <v>2153</v>
      </c>
      <c r="E44" s="2" t="s">
        <v>213</v>
      </c>
      <c r="F44" s="8" t="s">
        <v>2236</v>
      </c>
      <c r="G44" s="4">
        <v>900</v>
      </c>
      <c r="H44" s="4" t="s">
        <v>2235</v>
      </c>
    </row>
    <row r="45" spans="1:8">
      <c r="A45" s="5">
        <v>44165.427812499998</v>
      </c>
      <c r="B45" t="s">
        <v>2237</v>
      </c>
      <c r="C45" s="2" t="s">
        <v>212</v>
      </c>
      <c r="D45" s="38" t="s">
        <v>2153</v>
      </c>
      <c r="E45" s="2" t="s">
        <v>213</v>
      </c>
      <c r="F45" s="8" t="s">
        <v>2239</v>
      </c>
      <c r="G45" s="4">
        <v>900</v>
      </c>
      <c r="H45" s="4" t="s">
        <v>2238</v>
      </c>
    </row>
    <row r="46" spans="1:8">
      <c r="A46" s="5">
        <v>44165.427939814814</v>
      </c>
      <c r="B46" t="s">
        <v>2240</v>
      </c>
      <c r="C46" s="2" t="s">
        <v>212</v>
      </c>
      <c r="D46" s="38" t="s">
        <v>2153</v>
      </c>
      <c r="E46" s="2" t="s">
        <v>213</v>
      </c>
      <c r="F46" s="8" t="s">
        <v>2242</v>
      </c>
      <c r="G46" s="4">
        <v>900</v>
      </c>
      <c r="H46" s="4" t="s">
        <v>2241</v>
      </c>
    </row>
    <row r="47" spans="1:8">
      <c r="A47" s="5">
        <v>44165.428055555552</v>
      </c>
      <c r="B47" t="s">
        <v>2243</v>
      </c>
      <c r="C47" s="2" t="s">
        <v>212</v>
      </c>
      <c r="D47" s="38" t="s">
        <v>2153</v>
      </c>
      <c r="E47" s="2" t="s">
        <v>213</v>
      </c>
      <c r="F47" s="8" t="s">
        <v>2245</v>
      </c>
      <c r="G47" s="4">
        <v>900</v>
      </c>
      <c r="H47" s="4" t="s">
        <v>2244</v>
      </c>
    </row>
    <row r="48" spans="1:8">
      <c r="A48" s="5">
        <v>44165.428391203706</v>
      </c>
      <c r="B48" t="s">
        <v>2246</v>
      </c>
      <c r="C48" s="2" t="s">
        <v>212</v>
      </c>
      <c r="D48" s="38" t="s">
        <v>2153</v>
      </c>
      <c r="E48" s="2" t="s">
        <v>213</v>
      </c>
      <c r="F48" s="8" t="s">
        <v>2248</v>
      </c>
      <c r="G48" s="4">
        <v>900</v>
      </c>
      <c r="H48" s="4" t="s">
        <v>2247</v>
      </c>
    </row>
    <row r="49" spans="1:8">
      <c r="A49" s="5">
        <v>44165.428506944445</v>
      </c>
      <c r="B49" t="s">
        <v>2249</v>
      </c>
      <c r="C49" s="2" t="s">
        <v>420</v>
      </c>
      <c r="D49" s="38" t="s">
        <v>2153</v>
      </c>
      <c r="E49" s="2" t="s">
        <v>457</v>
      </c>
      <c r="F49" s="8" t="s">
        <v>2251</v>
      </c>
      <c r="G49" s="4">
        <v>900</v>
      </c>
      <c r="H49" s="4" t="s">
        <v>2250</v>
      </c>
    </row>
    <row r="50" spans="1:8">
      <c r="A50" s="5">
        <v>44165.428599537037</v>
      </c>
      <c r="B50" t="s">
        <v>2252</v>
      </c>
      <c r="C50" s="2" t="s">
        <v>212</v>
      </c>
      <c r="D50" s="38" t="s">
        <v>2153</v>
      </c>
      <c r="E50" s="2" t="s">
        <v>213</v>
      </c>
      <c r="F50" s="8" t="s">
        <v>2254</v>
      </c>
      <c r="G50" s="4">
        <v>900</v>
      </c>
      <c r="H50" s="4" t="s">
        <v>2253</v>
      </c>
    </row>
    <row r="51" spans="1:8">
      <c r="A51" s="5">
        <v>44165.428738425922</v>
      </c>
      <c r="B51" t="s">
        <v>2255</v>
      </c>
      <c r="C51" s="2" t="s">
        <v>212</v>
      </c>
      <c r="D51" s="38" t="s">
        <v>2153</v>
      </c>
      <c r="E51" s="2" t="s">
        <v>213</v>
      </c>
      <c r="F51" s="8" t="s">
        <v>2257</v>
      </c>
      <c r="G51" s="4">
        <v>900</v>
      </c>
      <c r="H51" s="4" t="s">
        <v>2256</v>
      </c>
    </row>
    <row r="52" spans="1:8">
      <c r="A52" s="5">
        <v>44165.430185185185</v>
      </c>
      <c r="B52" t="s">
        <v>2258</v>
      </c>
      <c r="C52" s="2" t="s">
        <v>212</v>
      </c>
      <c r="D52" s="38" t="s">
        <v>2153</v>
      </c>
      <c r="E52" s="2" t="s">
        <v>213</v>
      </c>
      <c r="F52" s="8" t="s">
        <v>2260</v>
      </c>
      <c r="G52" s="4">
        <v>900</v>
      </c>
      <c r="H52" s="4" t="s">
        <v>2259</v>
      </c>
    </row>
    <row r="53" spans="1:8">
      <c r="A53" s="5">
        <v>44165.430821759262</v>
      </c>
      <c r="B53" t="s">
        <v>2261</v>
      </c>
      <c r="C53" s="2" t="s">
        <v>212</v>
      </c>
      <c r="D53" s="38" t="s">
        <v>2153</v>
      </c>
      <c r="E53" s="2" t="s">
        <v>213</v>
      </c>
      <c r="F53" s="8" t="s">
        <v>2263</v>
      </c>
      <c r="G53" s="4">
        <v>900</v>
      </c>
      <c r="H53" s="4" t="s">
        <v>2262</v>
      </c>
    </row>
    <row r="54" spans="1:8">
      <c r="A54" s="5">
        <v>44165.431041666663</v>
      </c>
      <c r="B54" t="s">
        <v>2264</v>
      </c>
      <c r="C54" s="2" t="s">
        <v>212</v>
      </c>
      <c r="D54" s="38" t="s">
        <v>2153</v>
      </c>
      <c r="E54" s="2" t="s">
        <v>213</v>
      </c>
      <c r="F54" s="8" t="s">
        <v>2266</v>
      </c>
      <c r="G54" s="4">
        <v>900</v>
      </c>
      <c r="H54" s="4" t="s">
        <v>2265</v>
      </c>
    </row>
    <row r="55" spans="1:8">
      <c r="A55" s="5">
        <v>44165.431747685187</v>
      </c>
      <c r="B55" t="s">
        <v>2267</v>
      </c>
      <c r="C55" s="2" t="s">
        <v>228</v>
      </c>
      <c r="D55" s="38" t="s">
        <v>2269</v>
      </c>
      <c r="E55" s="2" t="s">
        <v>229</v>
      </c>
      <c r="F55" s="8" t="s">
        <v>2270</v>
      </c>
      <c r="G55" s="4">
        <v>720</v>
      </c>
      <c r="H55" s="4" t="s">
        <v>2268</v>
      </c>
    </row>
    <row r="56" spans="1:8">
      <c r="A56" s="5">
        <v>44165.432372685187</v>
      </c>
      <c r="B56" t="s">
        <v>2271</v>
      </c>
      <c r="C56" s="2" t="s">
        <v>228</v>
      </c>
      <c r="D56" s="38" t="s">
        <v>2269</v>
      </c>
      <c r="E56" s="2" t="s">
        <v>229</v>
      </c>
      <c r="F56" s="8" t="s">
        <v>2273</v>
      </c>
      <c r="G56" s="4">
        <v>720</v>
      </c>
      <c r="H56" s="4" t="s">
        <v>2272</v>
      </c>
    </row>
    <row r="57" spans="1:8">
      <c r="A57" s="5">
        <v>44165.432604166665</v>
      </c>
      <c r="B57" t="s">
        <v>2274</v>
      </c>
      <c r="C57" s="2" t="s">
        <v>228</v>
      </c>
      <c r="D57" s="38" t="s">
        <v>2269</v>
      </c>
      <c r="E57" s="2" t="s">
        <v>229</v>
      </c>
      <c r="F57" s="8" t="s">
        <v>2276</v>
      </c>
      <c r="G57" s="4">
        <v>720</v>
      </c>
      <c r="H57" s="4" t="s">
        <v>2275</v>
      </c>
    </row>
    <row r="58" spans="1:8">
      <c r="A58" s="5">
        <v>44165.432743055557</v>
      </c>
      <c r="B58" t="s">
        <v>2277</v>
      </c>
      <c r="C58" s="2" t="s">
        <v>228</v>
      </c>
      <c r="D58" s="38" t="s">
        <v>2269</v>
      </c>
      <c r="E58" s="2" t="s">
        <v>229</v>
      </c>
      <c r="F58" s="8" t="s">
        <v>2279</v>
      </c>
      <c r="G58" s="4">
        <v>720</v>
      </c>
      <c r="H58" s="4" t="s">
        <v>2278</v>
      </c>
    </row>
    <row r="59" spans="1:8">
      <c r="A59" s="5">
        <v>44165.432893518519</v>
      </c>
      <c r="B59" t="s">
        <v>2280</v>
      </c>
      <c r="C59" s="2" t="s">
        <v>228</v>
      </c>
      <c r="D59" s="38" t="s">
        <v>2269</v>
      </c>
      <c r="E59" s="2" t="s">
        <v>229</v>
      </c>
      <c r="F59" s="8" t="s">
        <v>2282</v>
      </c>
      <c r="G59" s="4">
        <v>720</v>
      </c>
      <c r="H59" s="4" t="s">
        <v>2281</v>
      </c>
    </row>
    <row r="60" spans="1:8">
      <c r="A60" s="5">
        <v>44165.43304398148</v>
      </c>
      <c r="B60" t="s">
        <v>2283</v>
      </c>
      <c r="C60" s="2" t="s">
        <v>228</v>
      </c>
      <c r="D60" s="38" t="s">
        <v>2269</v>
      </c>
      <c r="E60" s="2" t="s">
        <v>229</v>
      </c>
      <c r="F60" s="8" t="s">
        <v>2285</v>
      </c>
      <c r="G60" s="4">
        <v>720</v>
      </c>
      <c r="H60" s="4" t="s">
        <v>2284</v>
      </c>
    </row>
    <row r="61" spans="1:8">
      <c r="A61" s="5">
        <v>44165.433217592596</v>
      </c>
      <c r="B61" t="s">
        <v>2286</v>
      </c>
      <c r="C61" s="2" t="s">
        <v>228</v>
      </c>
      <c r="D61" s="38" t="s">
        <v>2269</v>
      </c>
      <c r="E61" s="2" t="s">
        <v>229</v>
      </c>
      <c r="F61" s="8" t="s">
        <v>2288</v>
      </c>
      <c r="G61" s="4">
        <v>720</v>
      </c>
      <c r="H61" s="4" t="s">
        <v>2287</v>
      </c>
    </row>
    <row r="62" spans="1:8">
      <c r="A62" s="5">
        <v>44165.43340277778</v>
      </c>
      <c r="B62" t="s">
        <v>2289</v>
      </c>
      <c r="C62" s="2" t="s">
        <v>228</v>
      </c>
      <c r="D62" s="38" t="s">
        <v>2269</v>
      </c>
      <c r="E62" s="2" t="s">
        <v>229</v>
      </c>
      <c r="F62" s="8" t="s">
        <v>2291</v>
      </c>
      <c r="G62" s="4">
        <v>720</v>
      </c>
      <c r="H62" s="4" t="s">
        <v>2290</v>
      </c>
    </row>
    <row r="63" spans="1:8">
      <c r="A63" s="5">
        <v>44165.433576388888</v>
      </c>
      <c r="B63" t="s">
        <v>2292</v>
      </c>
      <c r="C63" s="2" t="s">
        <v>228</v>
      </c>
      <c r="D63" s="38" t="s">
        <v>2269</v>
      </c>
      <c r="E63" s="2" t="s">
        <v>229</v>
      </c>
      <c r="F63" s="8" t="s">
        <v>2294</v>
      </c>
      <c r="G63" s="4">
        <v>720</v>
      </c>
      <c r="H63" s="4" t="s">
        <v>2293</v>
      </c>
    </row>
    <row r="64" spans="1:8">
      <c r="A64" s="5">
        <v>44165.433877314812</v>
      </c>
      <c r="B64" t="s">
        <v>2295</v>
      </c>
      <c r="C64" s="2" t="s">
        <v>212</v>
      </c>
      <c r="D64" s="38" t="s">
        <v>2153</v>
      </c>
      <c r="E64" s="2" t="s">
        <v>213</v>
      </c>
      <c r="F64" s="8" t="s">
        <v>2297</v>
      </c>
      <c r="G64" s="4">
        <v>900</v>
      </c>
      <c r="H64" s="4" t="s">
        <v>2296</v>
      </c>
    </row>
    <row r="65" spans="1:8">
      <c r="A65" s="5">
        <v>44166.419687499998</v>
      </c>
      <c r="B65" t="s">
        <v>2299</v>
      </c>
      <c r="C65" s="2" t="s">
        <v>228</v>
      </c>
      <c r="D65" s="38" t="s">
        <v>2301</v>
      </c>
      <c r="E65" s="2" t="s">
        <v>229</v>
      </c>
      <c r="F65" s="44" t="s">
        <v>2306</v>
      </c>
      <c r="G65" s="4">
        <v>720</v>
      </c>
      <c r="H65" s="4" t="s">
        <v>2300</v>
      </c>
    </row>
    <row r="66" spans="1:8">
      <c r="A66" s="5">
        <v>44166.419918981483</v>
      </c>
      <c r="B66" t="s">
        <v>2302</v>
      </c>
      <c r="C66" s="2" t="s">
        <v>228</v>
      </c>
      <c r="D66" s="38" t="s">
        <v>2301</v>
      </c>
      <c r="E66" s="2" t="s">
        <v>229</v>
      </c>
      <c r="F66" s="8" t="s">
        <v>2307</v>
      </c>
      <c r="G66" s="4">
        <v>720</v>
      </c>
      <c r="H66" s="4" t="s">
        <v>2300</v>
      </c>
    </row>
    <row r="67" spans="1:8">
      <c r="A67" s="5">
        <v>44166.420092592591</v>
      </c>
      <c r="B67" t="s">
        <v>2303</v>
      </c>
      <c r="C67" s="2" t="s">
        <v>228</v>
      </c>
      <c r="D67" s="38" t="s">
        <v>2301</v>
      </c>
      <c r="E67" s="2" t="s">
        <v>229</v>
      </c>
      <c r="F67" s="8" t="s">
        <v>2294</v>
      </c>
      <c r="G67" s="4">
        <v>720</v>
      </c>
      <c r="H67" s="4" t="s">
        <v>2300</v>
      </c>
    </row>
    <row r="68" spans="1:8">
      <c r="A68" s="5">
        <v>44166.420254629629</v>
      </c>
      <c r="B68" t="s">
        <v>2304</v>
      </c>
      <c r="C68" s="2" t="s">
        <v>228</v>
      </c>
      <c r="D68" s="38" t="s">
        <v>2301</v>
      </c>
      <c r="E68" s="2" t="s">
        <v>229</v>
      </c>
      <c r="F68" s="8" t="s">
        <v>2276</v>
      </c>
      <c r="G68" s="4">
        <v>720</v>
      </c>
      <c r="H68" s="4" t="s">
        <v>2300</v>
      </c>
    </row>
    <row r="69" spans="1:8">
      <c r="A69" s="5">
        <v>44166.420358796298</v>
      </c>
      <c r="B69" t="s">
        <v>2305</v>
      </c>
      <c r="C69" s="2" t="s">
        <v>228</v>
      </c>
      <c r="D69" s="38" t="s">
        <v>2301</v>
      </c>
      <c r="E69" s="2" t="s">
        <v>229</v>
      </c>
      <c r="F69" s="8" t="s">
        <v>2279</v>
      </c>
      <c r="G69" s="4">
        <v>720</v>
      </c>
      <c r="H69" s="4" t="s">
        <v>2300</v>
      </c>
    </row>
    <row r="70" spans="1:8">
      <c r="A70" s="5">
        <v>44166.4215625</v>
      </c>
      <c r="B70" t="s">
        <v>2308</v>
      </c>
      <c r="C70" s="2" t="s">
        <v>228</v>
      </c>
      <c r="D70" s="38" t="s">
        <v>2301</v>
      </c>
      <c r="E70" s="2" t="s">
        <v>229</v>
      </c>
      <c r="F70" s="8" t="s">
        <v>2273</v>
      </c>
      <c r="G70" s="4">
        <v>720</v>
      </c>
      <c r="H70" s="4" t="s">
        <v>2300</v>
      </c>
    </row>
    <row r="71" spans="1:8">
      <c r="A71" s="5">
        <v>44166.424537037034</v>
      </c>
      <c r="B71" t="s">
        <v>2309</v>
      </c>
      <c r="C71" s="2" t="s">
        <v>228</v>
      </c>
      <c r="D71" s="38" t="s">
        <v>2269</v>
      </c>
      <c r="E71" s="2" t="s">
        <v>229</v>
      </c>
      <c r="F71" s="8" t="s">
        <v>2310</v>
      </c>
      <c r="G71" s="4">
        <v>720</v>
      </c>
      <c r="H71" s="4" t="s">
        <v>2300</v>
      </c>
    </row>
    <row r="72" spans="1:8">
      <c r="A72" s="5">
        <v>44166.425775462965</v>
      </c>
      <c r="B72" t="s">
        <v>2311</v>
      </c>
      <c r="C72" s="2" t="s">
        <v>345</v>
      </c>
      <c r="D72" s="38" t="s">
        <v>2153</v>
      </c>
      <c r="E72" s="2" t="s">
        <v>346</v>
      </c>
      <c r="F72" s="8" t="s">
        <v>2312</v>
      </c>
      <c r="G72" s="4">
        <v>900</v>
      </c>
      <c r="H72" s="4" t="s">
        <v>2300</v>
      </c>
    </row>
    <row r="73" spans="1:8">
      <c r="A73" s="5">
        <v>44166.426053240742</v>
      </c>
      <c r="B73" t="s">
        <v>2313</v>
      </c>
      <c r="C73" s="2" t="s">
        <v>345</v>
      </c>
      <c r="D73" s="38" t="s">
        <v>2153</v>
      </c>
      <c r="E73" s="2" t="s">
        <v>346</v>
      </c>
      <c r="F73" s="8" t="s">
        <v>2314</v>
      </c>
      <c r="G73" s="4">
        <v>900</v>
      </c>
      <c r="H73" s="4" t="s">
        <v>2300</v>
      </c>
    </row>
    <row r="74" spans="1:8">
      <c r="A74" s="5">
        <v>44166.426365740743</v>
      </c>
      <c r="B74" t="s">
        <v>2315</v>
      </c>
      <c r="C74" s="2" t="s">
        <v>228</v>
      </c>
      <c r="D74" s="38" t="s">
        <v>2269</v>
      </c>
      <c r="E74" s="2" t="s">
        <v>229</v>
      </c>
      <c r="F74" s="8" t="s">
        <v>2316</v>
      </c>
      <c r="G74" s="4">
        <v>720</v>
      </c>
      <c r="H74" s="4" t="s">
        <v>2300</v>
      </c>
    </row>
    <row r="75" spans="1:8">
      <c r="A75" s="5">
        <v>44166.426608796297</v>
      </c>
      <c r="B75" t="s">
        <v>2317</v>
      </c>
      <c r="C75" s="2" t="s">
        <v>228</v>
      </c>
      <c r="D75" s="38" t="s">
        <v>2269</v>
      </c>
      <c r="E75" s="2" t="s">
        <v>229</v>
      </c>
      <c r="F75" s="8" t="s">
        <v>2318</v>
      </c>
      <c r="G75" s="4">
        <v>720</v>
      </c>
      <c r="H75" s="4" t="s">
        <v>2300</v>
      </c>
    </row>
    <row r="76" spans="1:8">
      <c r="A76" s="5">
        <v>44166.431064814817</v>
      </c>
      <c r="B76" t="s">
        <v>2298</v>
      </c>
      <c r="C76" s="2" t="s">
        <v>196</v>
      </c>
      <c r="D76" s="38" t="s">
        <v>2319</v>
      </c>
      <c r="E76" s="2" t="s">
        <v>197</v>
      </c>
      <c r="F76" s="8" t="s">
        <v>2340</v>
      </c>
      <c r="G76" s="4">
        <v>7000</v>
      </c>
      <c r="H76" s="4" t="s">
        <v>2300</v>
      </c>
    </row>
    <row r="77" spans="1:8">
      <c r="A77" s="5">
        <v>44166.490613425929</v>
      </c>
      <c r="B77" t="s">
        <v>2320</v>
      </c>
      <c r="C77" s="2" t="s">
        <v>228</v>
      </c>
      <c r="D77" s="38" t="s">
        <v>2301</v>
      </c>
      <c r="E77" s="2" t="s">
        <v>229</v>
      </c>
      <c r="F77" s="8" t="s">
        <v>2341</v>
      </c>
      <c r="G77" s="4">
        <v>720</v>
      </c>
      <c r="H77" s="4" t="s">
        <v>2300</v>
      </c>
    </row>
    <row r="78" spans="1:8">
      <c r="A78" s="5">
        <v>44166.490717592591</v>
      </c>
      <c r="B78" t="s">
        <v>2322</v>
      </c>
      <c r="C78" s="2" t="s">
        <v>228</v>
      </c>
      <c r="D78" s="38" t="s">
        <v>2301</v>
      </c>
      <c r="E78" s="2" t="s">
        <v>229</v>
      </c>
      <c r="F78" s="8" t="s">
        <v>2342</v>
      </c>
      <c r="G78" s="4">
        <v>720</v>
      </c>
      <c r="H78" s="4" t="s">
        <v>2300</v>
      </c>
    </row>
    <row r="79" spans="1:8">
      <c r="A79" s="5">
        <v>44166.49082175926</v>
      </c>
      <c r="B79" t="s">
        <v>2323</v>
      </c>
      <c r="C79" s="2" t="s">
        <v>228</v>
      </c>
      <c r="D79" s="38" t="s">
        <v>2301</v>
      </c>
      <c r="E79" s="2" t="s">
        <v>229</v>
      </c>
      <c r="F79" s="8" t="s">
        <v>2282</v>
      </c>
      <c r="G79" s="4">
        <v>720</v>
      </c>
      <c r="H79" s="4" t="s">
        <v>2300</v>
      </c>
    </row>
    <row r="80" spans="1:8">
      <c r="A80" s="5">
        <v>44166.490914351853</v>
      </c>
      <c r="B80" t="s">
        <v>2325</v>
      </c>
      <c r="C80" s="2" t="s">
        <v>228</v>
      </c>
      <c r="D80" s="38" t="s">
        <v>2301</v>
      </c>
      <c r="E80" s="2" t="s">
        <v>229</v>
      </c>
      <c r="F80" s="8" t="s">
        <v>2343</v>
      </c>
      <c r="G80" s="4">
        <v>720</v>
      </c>
      <c r="H80" s="4" t="s">
        <v>2300</v>
      </c>
    </row>
    <row r="81" spans="1:8">
      <c r="A81" s="5">
        <v>44166.491018518522</v>
      </c>
      <c r="B81" t="s">
        <v>2327</v>
      </c>
      <c r="C81" s="2" t="s">
        <v>228</v>
      </c>
      <c r="D81" s="38" t="s">
        <v>2301</v>
      </c>
      <c r="E81" s="2" t="s">
        <v>229</v>
      </c>
      <c r="F81" s="8" t="s">
        <v>2344</v>
      </c>
      <c r="G81" s="4">
        <v>720</v>
      </c>
      <c r="H81" s="4" t="s">
        <v>2300</v>
      </c>
    </row>
    <row r="82" spans="1:8">
      <c r="A82" s="5">
        <v>44166.491111111114</v>
      </c>
      <c r="B82" t="s">
        <v>2328</v>
      </c>
      <c r="C82" s="2" t="s">
        <v>228</v>
      </c>
      <c r="D82" s="38" t="s">
        <v>2301</v>
      </c>
      <c r="E82" s="2" t="s">
        <v>229</v>
      </c>
      <c r="F82" s="8" t="s">
        <v>2345</v>
      </c>
      <c r="G82" s="4">
        <v>720</v>
      </c>
      <c r="H82" s="4" t="s">
        <v>2300</v>
      </c>
    </row>
    <row r="83" spans="1:8">
      <c r="A83" s="5">
        <v>44166.49119212963</v>
      </c>
      <c r="B83" t="s">
        <v>2329</v>
      </c>
      <c r="C83" s="2" t="s">
        <v>228</v>
      </c>
      <c r="D83" s="38" t="s">
        <v>2301</v>
      </c>
      <c r="E83" s="2" t="s">
        <v>229</v>
      </c>
      <c r="F83" s="8" t="s">
        <v>2326</v>
      </c>
      <c r="G83" s="4">
        <v>720</v>
      </c>
      <c r="H83" s="4" t="s">
        <v>2300</v>
      </c>
    </row>
    <row r="84" spans="1:8">
      <c r="A84" s="5">
        <v>44166.491284722222</v>
      </c>
      <c r="B84" t="s">
        <v>2330</v>
      </c>
      <c r="C84" s="2" t="s">
        <v>228</v>
      </c>
      <c r="D84" s="38" t="s">
        <v>2301</v>
      </c>
      <c r="E84" s="2" t="s">
        <v>229</v>
      </c>
      <c r="F84" s="8" t="s">
        <v>2326</v>
      </c>
      <c r="G84" s="4">
        <v>720</v>
      </c>
      <c r="H84" s="4" t="s">
        <v>2300</v>
      </c>
    </row>
    <row r="85" spans="1:8">
      <c r="A85" s="5">
        <v>44166.491365740738</v>
      </c>
      <c r="B85" t="s">
        <v>2331</v>
      </c>
      <c r="C85" s="2" t="s">
        <v>228</v>
      </c>
      <c r="D85" s="38" t="s">
        <v>2301</v>
      </c>
      <c r="E85" s="2" t="s">
        <v>229</v>
      </c>
      <c r="F85" s="8" t="s">
        <v>2321</v>
      </c>
      <c r="G85" s="4">
        <v>720</v>
      </c>
      <c r="H85" s="4" t="s">
        <v>2300</v>
      </c>
    </row>
    <row r="86" spans="1:8">
      <c r="A86" s="5">
        <v>44166.491469907407</v>
      </c>
      <c r="B86" t="s">
        <v>2332</v>
      </c>
      <c r="C86" s="2" t="s">
        <v>228</v>
      </c>
      <c r="D86" s="38" t="s">
        <v>2301</v>
      </c>
      <c r="E86" s="2" t="s">
        <v>229</v>
      </c>
      <c r="F86" s="8" t="s">
        <v>2321</v>
      </c>
      <c r="G86" s="4">
        <v>720</v>
      </c>
      <c r="H86" s="4" t="s">
        <v>2300</v>
      </c>
    </row>
    <row r="87" spans="1:8">
      <c r="A87" s="5">
        <v>44166.491550925923</v>
      </c>
      <c r="B87" t="s">
        <v>2333</v>
      </c>
      <c r="C87" s="2" t="s">
        <v>228</v>
      </c>
      <c r="D87" s="38" t="s">
        <v>2301</v>
      </c>
      <c r="E87" s="2" t="s">
        <v>229</v>
      </c>
      <c r="F87" s="8" t="s">
        <v>2324</v>
      </c>
      <c r="G87" s="4">
        <v>720</v>
      </c>
      <c r="H87" s="4" t="s">
        <v>2300</v>
      </c>
    </row>
    <row r="88" spans="1:8">
      <c r="A88" s="5">
        <v>44166.491631944446</v>
      </c>
      <c r="B88" t="s">
        <v>2334</v>
      </c>
      <c r="C88" s="2" t="s">
        <v>228</v>
      </c>
      <c r="D88" s="38" t="s">
        <v>2301</v>
      </c>
      <c r="E88" s="2" t="s">
        <v>229</v>
      </c>
      <c r="F88" s="8" t="s">
        <v>2324</v>
      </c>
      <c r="G88" s="4">
        <v>720</v>
      </c>
      <c r="H88" s="4" t="s">
        <v>2300</v>
      </c>
    </row>
    <row r="89" spans="1:8">
      <c r="A89" s="5">
        <v>44166.491701388892</v>
      </c>
      <c r="B89" t="s">
        <v>2335</v>
      </c>
      <c r="C89" s="2" t="s">
        <v>228</v>
      </c>
      <c r="D89" s="38" t="s">
        <v>2301</v>
      </c>
      <c r="E89" s="2" t="s">
        <v>229</v>
      </c>
      <c r="F89" s="8" t="s">
        <v>2324</v>
      </c>
      <c r="G89" s="4">
        <v>720</v>
      </c>
      <c r="H89" s="4" t="s">
        <v>2300</v>
      </c>
    </row>
    <row r="90" spans="1:8">
      <c r="A90" s="5">
        <v>44166.491770833331</v>
      </c>
      <c r="B90" t="s">
        <v>2336</v>
      </c>
      <c r="C90" s="2" t="s">
        <v>228</v>
      </c>
      <c r="D90" s="38" t="s">
        <v>2301</v>
      </c>
      <c r="E90" s="2" t="s">
        <v>229</v>
      </c>
      <c r="F90" s="8" t="s">
        <v>2321</v>
      </c>
      <c r="G90" s="4">
        <v>720</v>
      </c>
      <c r="H90" s="4" t="s">
        <v>2300</v>
      </c>
    </row>
    <row r="91" spans="1:8">
      <c r="A91" s="5">
        <v>44166.491851851853</v>
      </c>
      <c r="B91" t="s">
        <v>2337</v>
      </c>
      <c r="C91" s="2" t="s">
        <v>228</v>
      </c>
      <c r="D91" s="38" t="s">
        <v>2301</v>
      </c>
      <c r="E91" s="2" t="s">
        <v>229</v>
      </c>
      <c r="F91" s="8" t="s">
        <v>2324</v>
      </c>
      <c r="G91" s="4">
        <v>720</v>
      </c>
      <c r="H91" s="4" t="s">
        <v>2300</v>
      </c>
    </row>
    <row r="92" spans="1:8">
      <c r="A92" s="5">
        <v>44166.491932870369</v>
      </c>
      <c r="B92" t="s">
        <v>2338</v>
      </c>
      <c r="C92" s="2" t="s">
        <v>228</v>
      </c>
      <c r="D92" s="38" t="s">
        <v>2301</v>
      </c>
      <c r="E92" s="2" t="s">
        <v>229</v>
      </c>
      <c r="F92" s="8" t="s">
        <v>2326</v>
      </c>
      <c r="G92" s="4">
        <v>720</v>
      </c>
      <c r="H92" s="4" t="s">
        <v>2300</v>
      </c>
    </row>
    <row r="93" spans="1:8">
      <c r="A93" s="5">
        <v>44166.492013888892</v>
      </c>
      <c r="B93" t="s">
        <v>2339</v>
      </c>
      <c r="C93" s="2" t="s">
        <v>228</v>
      </c>
      <c r="D93" s="38" t="s">
        <v>2301</v>
      </c>
      <c r="E93" s="2" t="s">
        <v>229</v>
      </c>
      <c r="F93" s="8" t="s">
        <v>2326</v>
      </c>
      <c r="G93" s="4">
        <v>720</v>
      </c>
      <c r="H93" s="4" t="s">
        <v>2300</v>
      </c>
    </row>
    <row r="94" spans="1:8">
      <c r="A94" s="5">
        <v>44166.556319444448</v>
      </c>
      <c r="B94" t="s">
        <v>2346</v>
      </c>
      <c r="C94" s="2" t="s">
        <v>196</v>
      </c>
      <c r="D94" s="38" t="s">
        <v>2319</v>
      </c>
      <c r="E94" s="2" t="s">
        <v>197</v>
      </c>
      <c r="F94" s="8" t="s">
        <v>2347</v>
      </c>
      <c r="G94" s="4">
        <v>7000</v>
      </c>
      <c r="H94" s="4" t="s">
        <v>2300</v>
      </c>
    </row>
    <row r="95" spans="1:8">
      <c r="A95" s="5">
        <v>44166.55672453704</v>
      </c>
      <c r="B95" t="s">
        <v>2348</v>
      </c>
      <c r="C95" s="2" t="s">
        <v>212</v>
      </c>
      <c r="D95" s="38" t="s">
        <v>2153</v>
      </c>
      <c r="E95" s="2" t="s">
        <v>213</v>
      </c>
      <c r="F95" s="8" t="s">
        <v>2349</v>
      </c>
      <c r="G95" s="4">
        <v>900</v>
      </c>
      <c r="H95" s="4" t="s">
        <v>2300</v>
      </c>
    </row>
    <row r="96" spans="1:8">
      <c r="A96" s="5">
        <v>44166.557500000003</v>
      </c>
      <c r="B96" t="s">
        <v>2350</v>
      </c>
      <c r="C96" s="2" t="s">
        <v>212</v>
      </c>
      <c r="D96" s="38" t="s">
        <v>2153</v>
      </c>
      <c r="E96" s="2" t="s">
        <v>213</v>
      </c>
      <c r="F96" s="8" t="s">
        <v>2351</v>
      </c>
      <c r="G96" s="4">
        <v>900</v>
      </c>
      <c r="H96" s="4" t="s">
        <v>2300</v>
      </c>
    </row>
    <row r="97" spans="1:8">
      <c r="A97" s="5">
        <v>44166.558159722219</v>
      </c>
      <c r="B97" t="s">
        <v>2352</v>
      </c>
      <c r="C97" s="2" t="s">
        <v>208</v>
      </c>
      <c r="D97" s="38" t="s">
        <v>2153</v>
      </c>
      <c r="E97" s="2" t="s">
        <v>209</v>
      </c>
      <c r="F97" s="8" t="s">
        <v>2353</v>
      </c>
      <c r="G97" s="4">
        <v>4860</v>
      </c>
      <c r="H97" s="4" t="s">
        <v>2300</v>
      </c>
    </row>
    <row r="98" spans="1:8">
      <c r="A98" s="5">
        <v>44166.558622685188</v>
      </c>
      <c r="B98" t="s">
        <v>2354</v>
      </c>
      <c r="C98" s="2" t="s">
        <v>212</v>
      </c>
      <c r="D98" s="38" t="s">
        <v>2153</v>
      </c>
      <c r="E98" s="2" t="s">
        <v>213</v>
      </c>
      <c r="F98" s="8" t="s">
        <v>2355</v>
      </c>
      <c r="G98" s="4">
        <v>900</v>
      </c>
      <c r="H98" s="4" t="s">
        <v>2300</v>
      </c>
    </row>
    <row r="99" spans="1:8">
      <c r="A99" s="5">
        <v>44166.558842592596</v>
      </c>
      <c r="B99" t="s">
        <v>2356</v>
      </c>
      <c r="C99" s="2" t="s">
        <v>212</v>
      </c>
      <c r="D99" s="38" t="s">
        <v>2153</v>
      </c>
      <c r="E99" s="2" t="s">
        <v>213</v>
      </c>
      <c r="F99" s="8" t="s">
        <v>2357</v>
      </c>
      <c r="G99" s="4">
        <v>900</v>
      </c>
      <c r="H99" s="4" t="s">
        <v>2300</v>
      </c>
    </row>
    <row r="100" spans="1:8">
      <c r="A100" s="5">
        <v>44166.559039351851</v>
      </c>
      <c r="B100" t="s">
        <v>2358</v>
      </c>
      <c r="C100" s="2" t="s">
        <v>212</v>
      </c>
      <c r="D100" s="38" t="s">
        <v>2153</v>
      </c>
      <c r="E100" s="2" t="s">
        <v>213</v>
      </c>
      <c r="F100" s="8" t="s">
        <v>2359</v>
      </c>
      <c r="G100" s="4">
        <v>900</v>
      </c>
      <c r="H100" s="4" t="s">
        <v>2300</v>
      </c>
    </row>
    <row r="101" spans="1:8">
      <c r="A101" s="5">
        <v>44166.55940972222</v>
      </c>
      <c r="B101" t="s">
        <v>2360</v>
      </c>
      <c r="C101" s="2" t="s">
        <v>275</v>
      </c>
      <c r="D101" s="38" t="s">
        <v>2153</v>
      </c>
      <c r="E101" s="2" t="s">
        <v>276</v>
      </c>
      <c r="F101" s="8" t="s">
        <v>2361</v>
      </c>
      <c r="G101" s="4">
        <v>3240</v>
      </c>
      <c r="H101" s="4" t="s">
        <v>2300</v>
      </c>
    </row>
    <row r="102" spans="1:8">
      <c r="A102" s="5">
        <v>44167.405462962961</v>
      </c>
      <c r="B102" t="s">
        <v>2362</v>
      </c>
      <c r="C102" s="2" t="s">
        <v>228</v>
      </c>
      <c r="D102" s="38" t="s">
        <v>2363</v>
      </c>
      <c r="E102" s="2" t="s">
        <v>229</v>
      </c>
      <c r="F102" s="8" t="s">
        <v>2364</v>
      </c>
      <c r="G102" s="4">
        <v>1440</v>
      </c>
      <c r="H102" s="4" t="s">
        <v>2300</v>
      </c>
    </row>
    <row r="103" spans="1:8">
      <c r="A103" s="5">
        <v>44167.405590277776</v>
      </c>
      <c r="B103" t="s">
        <v>2365</v>
      </c>
      <c r="C103" s="2" t="s">
        <v>228</v>
      </c>
      <c r="D103" s="38" t="s">
        <v>2363</v>
      </c>
      <c r="E103" s="2" t="s">
        <v>229</v>
      </c>
      <c r="F103" s="8" t="s">
        <v>2364</v>
      </c>
      <c r="G103" s="4">
        <v>1440</v>
      </c>
      <c r="H103" s="4" t="s">
        <v>2300</v>
      </c>
    </row>
    <row r="104" spans="1:8">
      <c r="A104" s="5">
        <v>44167.405717592592</v>
      </c>
      <c r="B104" t="s">
        <v>2366</v>
      </c>
      <c r="C104" s="2" t="s">
        <v>228</v>
      </c>
      <c r="D104" s="38" t="s">
        <v>2363</v>
      </c>
      <c r="E104" s="2" t="s">
        <v>229</v>
      </c>
      <c r="F104" s="8" t="s">
        <v>2364</v>
      </c>
      <c r="G104" s="4">
        <v>1440</v>
      </c>
      <c r="H104" s="4" t="s">
        <v>2300</v>
      </c>
    </row>
    <row r="105" spans="1:8">
      <c r="A105" s="5">
        <v>44167.406064814815</v>
      </c>
      <c r="B105" t="s">
        <v>2367</v>
      </c>
      <c r="C105" s="2" t="s">
        <v>228</v>
      </c>
      <c r="D105" s="38" t="s">
        <v>2363</v>
      </c>
      <c r="E105" s="2" t="s">
        <v>229</v>
      </c>
      <c r="F105" s="8" t="s">
        <v>2364</v>
      </c>
      <c r="G105" s="4">
        <v>1440</v>
      </c>
      <c r="H105" s="4" t="s">
        <v>2300</v>
      </c>
    </row>
    <row r="106" spans="1:8">
      <c r="A106" s="5">
        <v>44167.406168981484</v>
      </c>
      <c r="B106" t="s">
        <v>2368</v>
      </c>
      <c r="C106" s="2" t="s">
        <v>228</v>
      </c>
      <c r="D106" s="38" t="s">
        <v>2363</v>
      </c>
      <c r="E106" s="2" t="s">
        <v>229</v>
      </c>
      <c r="F106" s="8" t="s">
        <v>2364</v>
      </c>
      <c r="G106" s="4">
        <v>1440</v>
      </c>
      <c r="H106" s="4" t="s">
        <v>2300</v>
      </c>
    </row>
    <row r="107" spans="1:8">
      <c r="A107" s="5">
        <v>44167.406284722223</v>
      </c>
      <c r="B107" t="s">
        <v>2369</v>
      </c>
      <c r="C107" s="2" t="s">
        <v>228</v>
      </c>
      <c r="D107" s="38" t="s">
        <v>2363</v>
      </c>
      <c r="E107" s="2" t="s">
        <v>229</v>
      </c>
      <c r="F107" s="8" t="s">
        <v>2364</v>
      </c>
      <c r="G107" s="4">
        <v>1440</v>
      </c>
      <c r="H107" s="4" t="s">
        <v>2300</v>
      </c>
    </row>
    <row r="108" spans="1:8">
      <c r="A108" s="5">
        <v>44167.406423611108</v>
      </c>
      <c r="B108" t="s">
        <v>2370</v>
      </c>
      <c r="C108" s="2" t="s">
        <v>228</v>
      </c>
      <c r="D108" s="38" t="s">
        <v>2363</v>
      </c>
      <c r="E108" s="2" t="s">
        <v>229</v>
      </c>
      <c r="F108" s="8" t="s">
        <v>2364</v>
      </c>
      <c r="G108" s="4">
        <v>1440</v>
      </c>
      <c r="H108" s="4" t="s">
        <v>2300</v>
      </c>
    </row>
    <row r="109" spans="1:8">
      <c r="A109" s="5">
        <v>44167.4065162037</v>
      </c>
      <c r="B109" t="s">
        <v>2371</v>
      </c>
      <c r="C109" s="2" t="s">
        <v>228</v>
      </c>
      <c r="D109" s="38" t="s">
        <v>2363</v>
      </c>
      <c r="E109" s="2" t="s">
        <v>229</v>
      </c>
      <c r="F109" s="8" t="s">
        <v>2364</v>
      </c>
      <c r="G109" s="4">
        <v>1440</v>
      </c>
      <c r="H109" s="4" t="s">
        <v>2300</v>
      </c>
    </row>
    <row r="110" spans="1:8">
      <c r="A110" s="5">
        <v>44167.406643518516</v>
      </c>
      <c r="B110" t="s">
        <v>2372</v>
      </c>
      <c r="C110" s="2" t="s">
        <v>228</v>
      </c>
      <c r="D110" s="38" t="s">
        <v>2363</v>
      </c>
      <c r="E110" s="2" t="s">
        <v>229</v>
      </c>
      <c r="F110" s="8" t="s">
        <v>2364</v>
      </c>
      <c r="G110" s="4">
        <v>1440</v>
      </c>
      <c r="H110" s="4" t="s">
        <v>2300</v>
      </c>
    </row>
    <row r="111" spans="1:8">
      <c r="A111" s="5">
        <v>44167.406736111108</v>
      </c>
      <c r="B111" t="s">
        <v>2373</v>
      </c>
      <c r="C111" s="2" t="s">
        <v>228</v>
      </c>
      <c r="D111" s="38" t="s">
        <v>2363</v>
      </c>
      <c r="E111" s="2" t="s">
        <v>229</v>
      </c>
      <c r="F111" s="8" t="s">
        <v>2364</v>
      </c>
      <c r="G111" s="4">
        <v>1440</v>
      </c>
      <c r="H111" s="4" t="s">
        <v>2300</v>
      </c>
    </row>
    <row r="112" spans="1:8">
      <c r="A112" s="5">
        <v>44167.406828703701</v>
      </c>
      <c r="B112" t="s">
        <v>2374</v>
      </c>
      <c r="C112" s="2" t="s">
        <v>228</v>
      </c>
      <c r="D112" s="38" t="s">
        <v>2363</v>
      </c>
      <c r="E112" s="2" t="s">
        <v>229</v>
      </c>
      <c r="F112" s="8" t="s">
        <v>2364</v>
      </c>
      <c r="G112" s="4">
        <v>1440</v>
      </c>
      <c r="H112" s="4" t="s">
        <v>2300</v>
      </c>
    </row>
    <row r="113" spans="1:8">
      <c r="A113" s="5">
        <v>44167.546840277777</v>
      </c>
      <c r="B113" t="s">
        <v>2375</v>
      </c>
      <c r="C113" s="2" t="s">
        <v>275</v>
      </c>
      <c r="D113" s="38" t="s">
        <v>2153</v>
      </c>
      <c r="E113" s="2" t="s">
        <v>276</v>
      </c>
      <c r="F113" s="8" t="s">
        <v>2376</v>
      </c>
      <c r="G113" s="4">
        <v>3240</v>
      </c>
      <c r="H113" s="4" t="s">
        <v>2300</v>
      </c>
    </row>
    <row r="114" spans="1:8">
      <c r="A114" s="5">
        <v>44167.548541666663</v>
      </c>
      <c r="B114" t="s">
        <v>2377</v>
      </c>
      <c r="C114" s="2" t="s">
        <v>305</v>
      </c>
      <c r="D114" s="38" t="s">
        <v>2153</v>
      </c>
      <c r="E114" s="2" t="s">
        <v>306</v>
      </c>
      <c r="F114" s="8" t="s">
        <v>2378</v>
      </c>
      <c r="G114" s="4">
        <v>23100</v>
      </c>
      <c r="H114" s="4" t="s">
        <v>2300</v>
      </c>
    </row>
    <row r="115" spans="1:8">
      <c r="A115" s="5">
        <v>44167.752199074072</v>
      </c>
      <c r="B115" t="s">
        <v>2379</v>
      </c>
      <c r="C115" s="2" t="s">
        <v>196</v>
      </c>
      <c r="D115" s="38" t="s">
        <v>2319</v>
      </c>
      <c r="E115" s="2" t="s">
        <v>197</v>
      </c>
      <c r="F115" s="8" t="s">
        <v>2380</v>
      </c>
      <c r="G115" s="4">
        <v>7000</v>
      </c>
      <c r="H115" s="4" t="s">
        <v>2396</v>
      </c>
    </row>
    <row r="116" spans="1:8">
      <c r="A116" s="5">
        <v>44167.752604166664</v>
      </c>
      <c r="B116" t="s">
        <v>2381</v>
      </c>
      <c r="C116" s="2" t="s">
        <v>196</v>
      </c>
      <c r="D116" s="38" t="s">
        <v>2319</v>
      </c>
      <c r="E116" s="2" t="s">
        <v>197</v>
      </c>
      <c r="F116" s="8" t="s">
        <v>2382</v>
      </c>
      <c r="G116" s="4">
        <v>7000</v>
      </c>
      <c r="H116" s="4" t="s">
        <v>2395</v>
      </c>
    </row>
    <row r="117" spans="1:8">
      <c r="A117" s="5">
        <v>44167.752951388888</v>
      </c>
      <c r="B117" t="s">
        <v>2383</v>
      </c>
      <c r="C117" s="2" t="s">
        <v>196</v>
      </c>
      <c r="D117" s="38" t="s">
        <v>2319</v>
      </c>
      <c r="E117" s="2" t="s">
        <v>197</v>
      </c>
      <c r="F117" s="8" t="s">
        <v>2385</v>
      </c>
      <c r="G117" s="4">
        <v>7000</v>
      </c>
      <c r="H117" s="4" t="s">
        <v>2384</v>
      </c>
    </row>
    <row r="118" spans="1:8">
      <c r="A118" s="5">
        <v>44167.753136574072</v>
      </c>
      <c r="B118" t="s">
        <v>2386</v>
      </c>
      <c r="C118" s="2" t="s">
        <v>196</v>
      </c>
      <c r="D118" s="38" t="s">
        <v>2319</v>
      </c>
      <c r="E118" s="2" t="s">
        <v>197</v>
      </c>
      <c r="F118" s="8" t="s">
        <v>2388</v>
      </c>
      <c r="G118" s="4">
        <v>7000</v>
      </c>
      <c r="H118" s="4" t="s">
        <v>2387</v>
      </c>
    </row>
    <row r="119" spans="1:8">
      <c r="A119" s="5">
        <v>44167.753344907411</v>
      </c>
      <c r="B119" t="s">
        <v>2389</v>
      </c>
      <c r="C119" s="2" t="s">
        <v>196</v>
      </c>
      <c r="D119" s="38" t="s">
        <v>2319</v>
      </c>
      <c r="E119" s="2" t="s">
        <v>197</v>
      </c>
      <c r="F119" s="8" t="s">
        <v>2391</v>
      </c>
      <c r="G119" s="4">
        <v>7000</v>
      </c>
      <c r="H119" s="4" t="s">
        <v>2390</v>
      </c>
    </row>
    <row r="120" spans="1:8">
      <c r="A120" s="5">
        <v>44167.753506944442</v>
      </c>
      <c r="B120" t="s">
        <v>2392</v>
      </c>
      <c r="C120" s="2" t="s">
        <v>196</v>
      </c>
      <c r="D120" s="38" t="s">
        <v>2319</v>
      </c>
      <c r="E120" s="2" t="s">
        <v>197</v>
      </c>
      <c r="F120" s="8" t="s">
        <v>2394</v>
      </c>
      <c r="G120" s="4">
        <v>7000</v>
      </c>
      <c r="H120" s="4" t="s">
        <v>2393</v>
      </c>
    </row>
    <row r="121" spans="1:8">
      <c r="A121" s="5">
        <v>44168.565740740742</v>
      </c>
      <c r="B121" t="s">
        <v>2397</v>
      </c>
      <c r="C121" s="2" t="s">
        <v>103</v>
      </c>
      <c r="D121" s="38" t="s">
        <v>2398</v>
      </c>
      <c r="E121" s="2" t="s">
        <v>104</v>
      </c>
      <c r="F121" s="8" t="s">
        <v>2399</v>
      </c>
      <c r="G121" s="4">
        <v>6720</v>
      </c>
      <c r="H121" s="4" t="s">
        <v>2300</v>
      </c>
    </row>
    <row r="122" spans="1:8">
      <c r="A122" s="5">
        <v>44168.566446759258</v>
      </c>
      <c r="B122" t="s">
        <v>2400</v>
      </c>
      <c r="C122" s="2" t="s">
        <v>275</v>
      </c>
      <c r="D122" s="38" t="s">
        <v>2153</v>
      </c>
      <c r="E122" s="2" t="s">
        <v>276</v>
      </c>
      <c r="F122" s="8" t="s">
        <v>2401</v>
      </c>
      <c r="G122" s="4">
        <v>3240</v>
      </c>
      <c r="H122" s="4" t="s">
        <v>2300</v>
      </c>
    </row>
    <row r="123" spans="1:8">
      <c r="A123" s="5">
        <v>44173.451550925929</v>
      </c>
      <c r="B123" t="s">
        <v>2404</v>
      </c>
      <c r="C123" s="2" t="s">
        <v>275</v>
      </c>
      <c r="D123" s="38" t="s">
        <v>2153</v>
      </c>
      <c r="E123" s="2" t="s">
        <v>276</v>
      </c>
      <c r="F123" s="8" t="s">
        <v>2405</v>
      </c>
      <c r="G123" s="4">
        <v>3240</v>
      </c>
      <c r="H123" s="4" t="s">
        <v>2300</v>
      </c>
    </row>
    <row r="124" spans="1:8">
      <c r="A124" s="5">
        <v>44173.453692129631</v>
      </c>
      <c r="B124" t="s">
        <v>2406</v>
      </c>
      <c r="C124" s="2" t="s">
        <v>228</v>
      </c>
      <c r="D124" s="38" t="s">
        <v>2153</v>
      </c>
      <c r="E124" s="2" t="s">
        <v>229</v>
      </c>
      <c r="F124" s="8" t="s">
        <v>2407</v>
      </c>
      <c r="G124" s="4">
        <v>1440</v>
      </c>
      <c r="H124" s="4" t="s">
        <v>2300</v>
      </c>
    </row>
    <row r="125" spans="1:8">
      <c r="A125" s="5">
        <v>44173.453831018516</v>
      </c>
      <c r="B125" t="s">
        <v>2408</v>
      </c>
      <c r="C125" s="2" t="s">
        <v>228</v>
      </c>
      <c r="D125" s="38" t="s">
        <v>2153</v>
      </c>
      <c r="E125" s="2" t="s">
        <v>229</v>
      </c>
      <c r="F125" s="8" t="s">
        <v>2364</v>
      </c>
      <c r="G125" s="4">
        <v>1440</v>
      </c>
      <c r="H125" s="4" t="s">
        <v>2300</v>
      </c>
    </row>
    <row r="126" spans="1:8">
      <c r="A126" s="5">
        <v>44173.453993055555</v>
      </c>
      <c r="B126" t="s">
        <v>2409</v>
      </c>
      <c r="C126" s="2" t="s">
        <v>228</v>
      </c>
      <c r="D126" s="38" t="s">
        <v>2153</v>
      </c>
      <c r="E126" s="2" t="s">
        <v>229</v>
      </c>
      <c r="F126" s="8" t="s">
        <v>2410</v>
      </c>
      <c r="G126" s="4">
        <v>1440</v>
      </c>
      <c r="H126" s="4" t="s">
        <v>2300</v>
      </c>
    </row>
    <row r="127" spans="1:8">
      <c r="A127" s="5">
        <v>44173.454548611109</v>
      </c>
      <c r="B127" t="s">
        <v>2411</v>
      </c>
      <c r="C127" s="2" t="s">
        <v>275</v>
      </c>
      <c r="D127" s="38" t="s">
        <v>2412</v>
      </c>
      <c r="E127" s="2" t="s">
        <v>276</v>
      </c>
      <c r="F127" s="8" t="s">
        <v>2413</v>
      </c>
      <c r="G127" s="4">
        <v>3240</v>
      </c>
      <c r="H127" s="4" t="s">
        <v>2300</v>
      </c>
    </row>
    <row r="128" spans="1:8">
      <c r="A128" s="5">
        <v>44173.454733796294</v>
      </c>
      <c r="B128" t="s">
        <v>2414</v>
      </c>
      <c r="C128" s="2" t="s">
        <v>228</v>
      </c>
      <c r="D128" s="38" t="s">
        <v>2153</v>
      </c>
      <c r="E128" s="2" t="s">
        <v>229</v>
      </c>
      <c r="F128" s="8" t="s">
        <v>2415</v>
      </c>
      <c r="G128" s="4">
        <v>720</v>
      </c>
      <c r="H128" s="4" t="s">
        <v>2300</v>
      </c>
    </row>
    <row r="129" spans="1:8">
      <c r="A129" s="5">
        <v>44173.454988425925</v>
      </c>
      <c r="B129" t="s">
        <v>2416</v>
      </c>
      <c r="C129" s="2" t="s">
        <v>212</v>
      </c>
      <c r="D129" s="38" t="s">
        <v>2417</v>
      </c>
      <c r="E129" s="2" t="s">
        <v>213</v>
      </c>
      <c r="F129" s="8" t="s">
        <v>2418</v>
      </c>
      <c r="G129" s="4">
        <v>900</v>
      </c>
      <c r="H129" s="4" t="s">
        <v>2300</v>
      </c>
    </row>
    <row r="130" spans="1:8">
      <c r="A130" s="5">
        <v>44173.455150462964</v>
      </c>
      <c r="B130" t="s">
        <v>2419</v>
      </c>
      <c r="C130" s="2" t="s">
        <v>212</v>
      </c>
      <c r="D130" s="38" t="s">
        <v>2417</v>
      </c>
      <c r="E130" s="2" t="s">
        <v>213</v>
      </c>
      <c r="F130" s="8" t="s">
        <v>2420</v>
      </c>
      <c r="G130" s="4">
        <v>900</v>
      </c>
      <c r="H130" s="4" t="s">
        <v>2300</v>
      </c>
    </row>
    <row r="131" spans="1:8">
      <c r="A131" s="5">
        <v>44173.455347222225</v>
      </c>
      <c r="B131" t="s">
        <v>2421</v>
      </c>
      <c r="C131" s="2" t="s">
        <v>212</v>
      </c>
      <c r="D131" s="38" t="s">
        <v>2417</v>
      </c>
      <c r="E131" s="2" t="s">
        <v>213</v>
      </c>
      <c r="F131" s="8" t="s">
        <v>2422</v>
      </c>
      <c r="G131" s="4">
        <v>900</v>
      </c>
      <c r="H131" s="4" t="s">
        <v>2300</v>
      </c>
    </row>
    <row r="132" spans="1:8">
      <c r="A132" s="5">
        <v>44173.455671296295</v>
      </c>
      <c r="B132" t="s">
        <v>2423</v>
      </c>
      <c r="C132" s="2" t="s">
        <v>212</v>
      </c>
      <c r="D132" s="38" t="s">
        <v>2417</v>
      </c>
      <c r="E132" s="2" t="s">
        <v>213</v>
      </c>
      <c r="F132" s="8" t="s">
        <v>2424</v>
      </c>
      <c r="G132" s="4">
        <v>900</v>
      </c>
      <c r="H132" s="4" t="s">
        <v>2300</v>
      </c>
    </row>
    <row r="133" spans="1:8">
      <c r="A133" s="5">
        <v>44173.456909722219</v>
      </c>
      <c r="B133" t="s">
        <v>2425</v>
      </c>
      <c r="C133" s="2" t="s">
        <v>208</v>
      </c>
      <c r="D133" s="38" t="s">
        <v>2426</v>
      </c>
      <c r="E133" s="2" t="s">
        <v>209</v>
      </c>
      <c r="F133" s="8" t="s">
        <v>2427</v>
      </c>
      <c r="G133" s="4">
        <v>4860</v>
      </c>
      <c r="H133" s="4" t="s">
        <v>2300</v>
      </c>
    </row>
    <row r="134" spans="1:8">
      <c r="A134" s="5">
        <v>44173.457569444443</v>
      </c>
      <c r="B134" t="s">
        <v>2428</v>
      </c>
      <c r="C134" s="2" t="s">
        <v>305</v>
      </c>
      <c r="D134" s="38" t="s">
        <v>2153</v>
      </c>
      <c r="E134" s="2" t="s">
        <v>306</v>
      </c>
      <c r="F134" s="8" t="s">
        <v>2376</v>
      </c>
      <c r="G134" s="4">
        <v>4860</v>
      </c>
      <c r="H134" s="4" t="s">
        <v>2300</v>
      </c>
    </row>
    <row r="135" spans="1:8">
      <c r="A135" s="5">
        <v>44173.457754629628</v>
      </c>
      <c r="B135" t="s">
        <v>2429</v>
      </c>
      <c r="C135" s="2" t="s">
        <v>212</v>
      </c>
      <c r="D135" s="38" t="s">
        <v>2417</v>
      </c>
      <c r="E135" s="2" t="s">
        <v>213</v>
      </c>
      <c r="F135" s="8" t="s">
        <v>2430</v>
      </c>
      <c r="G135" s="4">
        <v>900</v>
      </c>
      <c r="H135" s="4" t="s">
        <v>2300</v>
      </c>
    </row>
    <row r="136" spans="1:8">
      <c r="A136" s="5">
        <v>44173.458043981482</v>
      </c>
      <c r="B136" t="s">
        <v>2431</v>
      </c>
      <c r="C136" s="2" t="s">
        <v>208</v>
      </c>
      <c r="D136" s="38" t="s">
        <v>2153</v>
      </c>
      <c r="E136" s="2" t="s">
        <v>209</v>
      </c>
      <c r="F136" s="8" t="s">
        <v>2432</v>
      </c>
      <c r="G136" s="4">
        <v>4860</v>
      </c>
      <c r="H136" s="4" t="s">
        <v>2300</v>
      </c>
    </row>
    <row r="137" spans="1:8">
      <c r="A137" s="5">
        <v>44173.45888888889</v>
      </c>
      <c r="B137" t="s">
        <v>2433</v>
      </c>
      <c r="C137" s="2" t="s">
        <v>275</v>
      </c>
      <c r="D137" s="38" t="s">
        <v>2412</v>
      </c>
      <c r="E137" s="2" t="s">
        <v>276</v>
      </c>
      <c r="F137" s="8" t="s">
        <v>2434</v>
      </c>
      <c r="G137" s="4">
        <v>3240</v>
      </c>
      <c r="H137" s="4" t="s">
        <v>2300</v>
      </c>
    </row>
    <row r="138" spans="1:8">
      <c r="A138" s="5">
        <v>44173.459247685183</v>
      </c>
      <c r="B138" t="s">
        <v>2435</v>
      </c>
      <c r="C138" s="2" t="s">
        <v>228</v>
      </c>
      <c r="D138" s="38" t="s">
        <v>2153</v>
      </c>
      <c r="E138" s="2" t="s">
        <v>229</v>
      </c>
      <c r="F138" s="8" t="s">
        <v>2436</v>
      </c>
      <c r="G138" s="4">
        <v>1440</v>
      </c>
      <c r="H138" s="4" t="s">
        <v>2300</v>
      </c>
    </row>
    <row r="139" spans="1:8">
      <c r="A139" s="5">
        <v>44173.459456018521</v>
      </c>
      <c r="B139" t="s">
        <v>2437</v>
      </c>
      <c r="C139" s="2" t="s">
        <v>228</v>
      </c>
      <c r="D139" s="38" t="s">
        <v>2153</v>
      </c>
      <c r="E139" s="2" t="s">
        <v>229</v>
      </c>
      <c r="F139" s="8" t="s">
        <v>2438</v>
      </c>
      <c r="G139" s="4">
        <v>1440</v>
      </c>
      <c r="H139" s="4" t="s">
        <v>2300</v>
      </c>
    </row>
    <row r="140" spans="1:8">
      <c r="A140" s="2" t="s">
        <v>2445</v>
      </c>
      <c r="B140" t="s">
        <v>2446</v>
      </c>
    </row>
  </sheetData>
  <autoFilter ref="C2:H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56"/>
  <sheetViews>
    <sheetView workbookViewId="0">
      <selection activeCell="D104" sqref="D104"/>
    </sheetView>
  </sheetViews>
  <sheetFormatPr defaultRowHeight="15"/>
  <cols>
    <col min="1" max="1" width="5.7109375" customWidth="1"/>
    <col min="2" max="2" width="23.5703125" style="2" customWidth="1"/>
    <col min="3" max="3" width="59.85546875" customWidth="1"/>
    <col min="4" max="4" width="16.140625" customWidth="1"/>
    <col min="5" max="6" width="10.7109375" customWidth="1"/>
    <col min="7" max="7" width="10.85546875" customWidth="1"/>
    <col min="8" max="10" width="10.7109375" customWidth="1"/>
    <col min="11" max="11" width="10.85546875" customWidth="1"/>
    <col min="12" max="12" width="14.140625" customWidth="1"/>
  </cols>
  <sheetData>
    <row r="1" spans="1:11" ht="21.75" customHeight="1">
      <c r="B1" s="11" t="s">
        <v>516</v>
      </c>
      <c r="C1" s="11" t="s">
        <v>517</v>
      </c>
      <c r="D1" s="11" t="s">
        <v>419</v>
      </c>
      <c r="E1" s="2"/>
      <c r="F1" s="2"/>
      <c r="G1" s="2"/>
      <c r="H1" s="2"/>
      <c r="I1" s="2"/>
      <c r="J1" s="2"/>
      <c r="K1" s="2"/>
    </row>
    <row r="2" spans="1:11">
      <c r="A2" s="2"/>
      <c r="B2" s="2" t="s">
        <v>518</v>
      </c>
      <c r="C2" s="12" t="s">
        <v>519</v>
      </c>
      <c r="D2" s="4">
        <f>SUMIF('Stock In'!$C:$C,B:B,'Stock In'!$G:$G)</f>
        <v>0</v>
      </c>
      <c r="E2" s="4"/>
      <c r="F2" s="2"/>
      <c r="G2" s="2"/>
      <c r="H2" s="2"/>
      <c r="I2" s="2"/>
      <c r="J2" s="2"/>
      <c r="K2" s="2"/>
    </row>
    <row r="3" spans="1:11">
      <c r="A3" s="2"/>
      <c r="B3" s="2" t="s">
        <v>520</v>
      </c>
      <c r="C3" s="12" t="s">
        <v>521</v>
      </c>
      <c r="D3" s="4">
        <f>SUMIF('Stock In'!$C:$C,B:B,'Stock In'!$G:$G)</f>
        <v>0</v>
      </c>
    </row>
    <row r="4" spans="1:11">
      <c r="A4" s="2"/>
      <c r="B4" s="2" t="s">
        <v>5</v>
      </c>
      <c r="C4" s="12" t="s">
        <v>6</v>
      </c>
      <c r="D4" s="4">
        <f>SUMIF('Stock In'!$C:$C,B:B,'Stock In'!$G:$G)</f>
        <v>0</v>
      </c>
    </row>
    <row r="5" spans="1:11">
      <c r="A5" s="2"/>
      <c r="B5" s="2" t="s">
        <v>522</v>
      </c>
      <c r="C5" s="12" t="s">
        <v>523</v>
      </c>
      <c r="D5" s="4">
        <f>SUMIF('Stock In'!$C:$C,B:B,'Stock In'!$G:$G)</f>
        <v>0</v>
      </c>
    </row>
    <row r="6" spans="1:11">
      <c r="A6" s="2"/>
      <c r="B6" s="2" t="s">
        <v>524</v>
      </c>
      <c r="C6" s="12" t="s">
        <v>525</v>
      </c>
      <c r="D6" s="4">
        <f>SUMIF('Stock In'!$C:$C,B:B,'Stock In'!$G:$G)</f>
        <v>0</v>
      </c>
    </row>
    <row r="7" spans="1:11">
      <c r="A7" s="2"/>
      <c r="B7" s="2" t="s">
        <v>526</v>
      </c>
      <c r="C7" s="12" t="s">
        <v>527</v>
      </c>
      <c r="D7" s="4">
        <f>SUMIF('Stock In'!$C:$C,B:B,'Stock In'!$G:$G)</f>
        <v>0</v>
      </c>
    </row>
    <row r="8" spans="1:11">
      <c r="A8" s="2"/>
      <c r="B8" s="2" t="s">
        <v>528</v>
      </c>
      <c r="C8" s="12" t="s">
        <v>529</v>
      </c>
      <c r="D8" s="4">
        <f>SUMIF('Stock In'!$C:$C,B:B,'Stock In'!$G:$G)</f>
        <v>0</v>
      </c>
    </row>
    <row r="9" spans="1:11">
      <c r="A9" s="2"/>
      <c r="B9" s="2" t="s">
        <v>530</v>
      </c>
      <c r="C9" s="12" t="s">
        <v>531</v>
      </c>
      <c r="D9" s="4">
        <f>SUMIF('Stock In'!$C:$C,B:B,'Stock In'!$G:$G)</f>
        <v>0</v>
      </c>
    </row>
    <row r="10" spans="1:11">
      <c r="A10" s="2"/>
      <c r="B10" s="2" t="s">
        <v>532</v>
      </c>
      <c r="C10" s="12" t="s">
        <v>533</v>
      </c>
      <c r="D10" s="4">
        <f>SUMIF('Stock In'!$C:$C,B:B,'Stock In'!$G:$G)</f>
        <v>0</v>
      </c>
    </row>
    <row r="11" spans="1:11">
      <c r="A11" s="2"/>
      <c r="B11" s="2" t="s">
        <v>534</v>
      </c>
      <c r="C11" s="12" t="s">
        <v>535</v>
      </c>
      <c r="D11" s="4">
        <f>SUMIF('Stock In'!$C:$C,B:B,'Stock In'!$G:$G)</f>
        <v>0</v>
      </c>
    </row>
    <row r="12" spans="1:11">
      <c r="A12" s="2"/>
      <c r="B12" s="2" t="s">
        <v>536</v>
      </c>
      <c r="C12" s="12" t="s">
        <v>537</v>
      </c>
      <c r="D12" s="4">
        <f>SUMIF('Stock In'!$C:$C,B:B,'Stock In'!$G:$G)</f>
        <v>0</v>
      </c>
    </row>
    <row r="13" spans="1:11">
      <c r="A13" s="2"/>
      <c r="B13" s="2" t="s">
        <v>538</v>
      </c>
      <c r="C13" s="12" t="s">
        <v>539</v>
      </c>
      <c r="D13" s="4">
        <f>SUMIF('Stock In'!$C:$C,B:B,'Stock In'!$G:$G)</f>
        <v>0</v>
      </c>
    </row>
    <row r="14" spans="1:11">
      <c r="A14" s="2"/>
      <c r="B14" s="2" t="s">
        <v>540</v>
      </c>
      <c r="C14" s="12" t="s">
        <v>541</v>
      </c>
      <c r="D14" s="4">
        <f>SUMIF('Stock In'!$C:$C,B:B,'Stock In'!$G:$G)</f>
        <v>0</v>
      </c>
    </row>
    <row r="15" spans="1:11">
      <c r="A15" s="2"/>
      <c r="B15" s="2" t="s">
        <v>11</v>
      </c>
      <c r="C15" s="12" t="s">
        <v>12</v>
      </c>
      <c r="D15" s="4">
        <f>SUMIF('Stock In'!$C:$C,B:B,'Stock In'!$G:$G)</f>
        <v>0</v>
      </c>
    </row>
    <row r="16" spans="1:11">
      <c r="A16" s="2"/>
      <c r="B16" s="2" t="s">
        <v>13</v>
      </c>
      <c r="C16" s="12" t="s">
        <v>14</v>
      </c>
      <c r="D16" s="4">
        <f>SUMIF('Stock In'!$C:$C,B:B,'Stock In'!$G:$G)</f>
        <v>0</v>
      </c>
    </row>
    <row r="17" spans="1:4">
      <c r="A17" s="2"/>
      <c r="B17" s="2" t="s">
        <v>15</v>
      </c>
      <c r="C17" s="12" t="s">
        <v>16</v>
      </c>
      <c r="D17" s="4">
        <f>SUMIF('Stock In'!$C:$C,B:B,'Stock In'!$G:$G)</f>
        <v>0</v>
      </c>
    </row>
    <row r="18" spans="1:4">
      <c r="A18" s="2"/>
      <c r="B18" s="2" t="s">
        <v>17</v>
      </c>
      <c r="C18" s="12" t="s">
        <v>18</v>
      </c>
      <c r="D18" s="4">
        <f>SUMIF('Stock In'!$C:$C,B:B,'Stock In'!$G:$G)</f>
        <v>0</v>
      </c>
    </row>
    <row r="19" spans="1:4">
      <c r="A19" s="2"/>
      <c r="B19" s="2" t="s">
        <v>21</v>
      </c>
      <c r="C19" s="12" t="s">
        <v>22</v>
      </c>
      <c r="D19" s="4">
        <f>SUMIF('Stock In'!$C:$C,B:B,'Stock In'!$G:$G)</f>
        <v>0</v>
      </c>
    </row>
    <row r="20" spans="1:4">
      <c r="A20" s="2"/>
      <c r="B20" s="2" t="s">
        <v>31</v>
      </c>
      <c r="C20" s="12" t="s">
        <v>32</v>
      </c>
      <c r="D20" s="4">
        <f>SUMIF('Stock In'!$C:$C,B:B,'Stock In'!$G:$G)</f>
        <v>0</v>
      </c>
    </row>
    <row r="21" spans="1:4">
      <c r="A21" s="2"/>
      <c r="B21" s="2" t="s">
        <v>33</v>
      </c>
      <c r="C21" s="12" t="s">
        <v>34</v>
      </c>
      <c r="D21" s="4">
        <f>SUMIF('Stock In'!$C:$C,B:B,'Stock In'!$G:$G)</f>
        <v>0</v>
      </c>
    </row>
    <row r="22" spans="1:4">
      <c r="A22" s="2"/>
      <c r="B22" s="2" t="s">
        <v>35</v>
      </c>
      <c r="C22" s="12" t="s">
        <v>36</v>
      </c>
      <c r="D22" s="4">
        <f>SUMIF('Stock In'!$C:$C,B:B,'Stock In'!$G:$G)</f>
        <v>0</v>
      </c>
    </row>
    <row r="23" spans="1:4">
      <c r="A23" s="2"/>
      <c r="B23" s="2" t="s">
        <v>37</v>
      </c>
      <c r="C23" s="12" t="s">
        <v>38</v>
      </c>
      <c r="D23" s="4">
        <f>SUMIF('Stock In'!$C:$C,B:B,'Stock In'!$G:$G)</f>
        <v>0</v>
      </c>
    </row>
    <row r="24" spans="1:4">
      <c r="A24" s="2"/>
      <c r="B24" s="2" t="s">
        <v>39</v>
      </c>
      <c r="C24" s="12" t="s">
        <v>40</v>
      </c>
      <c r="D24" s="4">
        <f>SUMIF('Stock In'!$C:$C,B:B,'Stock In'!$G:$G)</f>
        <v>0</v>
      </c>
    </row>
    <row r="25" spans="1:4">
      <c r="A25" s="2"/>
      <c r="B25" s="2" t="s">
        <v>41</v>
      </c>
      <c r="C25" s="12" t="s">
        <v>42</v>
      </c>
      <c r="D25" s="4">
        <f>SUMIF('Stock In'!$C:$C,B:B,'Stock In'!$G:$G)</f>
        <v>0</v>
      </c>
    </row>
    <row r="26" spans="1:4">
      <c r="A26" s="2"/>
      <c r="B26" s="2" t="s">
        <v>43</v>
      </c>
      <c r="C26" s="12" t="s">
        <v>44</v>
      </c>
      <c r="D26" s="4">
        <f>SUMIF('Stock In'!$C:$C,B:B,'Stock In'!$G:$G)</f>
        <v>0</v>
      </c>
    </row>
    <row r="27" spans="1:4">
      <c r="A27" s="2"/>
      <c r="B27" s="2" t="s">
        <v>45</v>
      </c>
      <c r="C27" s="12" t="s">
        <v>46</v>
      </c>
      <c r="D27" s="4">
        <f>SUMIF('Stock In'!$C:$C,B:B,'Stock In'!$G:$G)</f>
        <v>0</v>
      </c>
    </row>
    <row r="28" spans="1:4">
      <c r="A28" s="2"/>
      <c r="B28" s="2" t="s">
        <v>47</v>
      </c>
      <c r="C28" s="12" t="s">
        <v>48</v>
      </c>
      <c r="D28" s="4">
        <f>SUMIF('Stock In'!$C:$C,B:B,'Stock In'!$G:$G)</f>
        <v>0</v>
      </c>
    </row>
    <row r="29" spans="1:4">
      <c r="A29" s="2"/>
      <c r="B29" s="2" t="s">
        <v>542</v>
      </c>
      <c r="C29" s="12" t="s">
        <v>543</v>
      </c>
      <c r="D29" s="4">
        <f>SUMIF('Stock In'!$C:$C,B:B,'Stock In'!$G:$G)</f>
        <v>0</v>
      </c>
    </row>
    <row r="30" spans="1:4">
      <c r="A30" s="2"/>
      <c r="B30" s="2" t="s">
        <v>103</v>
      </c>
      <c r="C30" s="12" t="s">
        <v>104</v>
      </c>
      <c r="D30" s="4">
        <f>SUMIF('Stock In'!$C:$C,B:B,'Stock In'!$G:$G)</f>
        <v>6720</v>
      </c>
    </row>
    <row r="31" spans="1:4">
      <c r="A31" s="2"/>
      <c r="B31" s="2" t="s">
        <v>105</v>
      </c>
      <c r="C31" s="12" t="s">
        <v>106</v>
      </c>
      <c r="D31" s="4">
        <f>SUMIF('Stock In'!$C:$C,B:B,'Stock In'!$G:$G)</f>
        <v>0</v>
      </c>
    </row>
    <row r="32" spans="1:4">
      <c r="A32" s="2"/>
      <c r="B32" s="2" t="s">
        <v>107</v>
      </c>
      <c r="C32" s="12" t="s">
        <v>108</v>
      </c>
      <c r="D32" s="4">
        <f>SUMIF('Stock In'!$C:$C,B:B,'Stock In'!$G:$G)</f>
        <v>0</v>
      </c>
    </row>
    <row r="33" spans="1:4">
      <c r="A33" s="2"/>
      <c r="B33" s="2" t="s">
        <v>109</v>
      </c>
      <c r="C33" s="12" t="s">
        <v>110</v>
      </c>
      <c r="D33" s="4">
        <f>SUMIF('Stock In'!$C:$C,B:B,'Stock In'!$G:$G)</f>
        <v>0</v>
      </c>
    </row>
    <row r="34" spans="1:4">
      <c r="A34" s="2"/>
      <c r="B34" s="2" t="s">
        <v>111</v>
      </c>
      <c r="C34" s="12" t="s">
        <v>112</v>
      </c>
      <c r="D34" s="4">
        <f>SUMIF('Stock In'!$C:$C,B:B,'Stock In'!$G:$G)</f>
        <v>0</v>
      </c>
    </row>
    <row r="35" spans="1:4">
      <c r="A35" s="2"/>
      <c r="B35" s="2" t="s">
        <v>299</v>
      </c>
      <c r="C35" s="12" t="s">
        <v>300</v>
      </c>
      <c r="D35" s="4">
        <f>SUMIF('Stock In'!$C:$C,B:B,'Stock In'!$G:$G)</f>
        <v>0</v>
      </c>
    </row>
    <row r="36" spans="1:4">
      <c r="A36" s="2"/>
      <c r="B36" s="2" t="s">
        <v>113</v>
      </c>
      <c r="C36" s="12" t="s">
        <v>114</v>
      </c>
      <c r="D36" s="4">
        <f>SUMIF('Stock In'!$C:$C,B:B,'Stock In'!$G:$G)</f>
        <v>0</v>
      </c>
    </row>
    <row r="37" spans="1:4">
      <c r="A37" s="2"/>
      <c r="B37" s="2" t="s">
        <v>115</v>
      </c>
      <c r="C37" s="12" t="s">
        <v>116</v>
      </c>
      <c r="D37" s="4">
        <f>SUMIF('Stock In'!$C:$C,B:B,'Stock In'!$G:$G)</f>
        <v>0</v>
      </c>
    </row>
    <row r="38" spans="1:4">
      <c r="A38" s="2"/>
      <c r="B38" s="2" t="s">
        <v>117</v>
      </c>
      <c r="C38" s="12" t="s">
        <v>118</v>
      </c>
      <c r="D38" s="4">
        <f>SUMIF('Stock In'!$C:$C,B:B,'Stock In'!$G:$G)</f>
        <v>0</v>
      </c>
    </row>
    <row r="39" spans="1:4">
      <c r="A39" s="2"/>
      <c r="B39" s="2" t="s">
        <v>119</v>
      </c>
      <c r="C39" s="12" t="s">
        <v>120</v>
      </c>
      <c r="D39" s="4">
        <f>SUMIF('Stock In'!$C:$C,B:B,'Stock In'!$G:$G)</f>
        <v>0</v>
      </c>
    </row>
    <row r="40" spans="1:4">
      <c r="A40" s="2"/>
      <c r="B40" s="2" t="s">
        <v>121</v>
      </c>
      <c r="C40" s="12" t="s">
        <v>122</v>
      </c>
      <c r="D40" s="4">
        <f>SUMIF('Stock In'!$C:$C,B:B,'Stock In'!$G:$G)</f>
        <v>0</v>
      </c>
    </row>
    <row r="41" spans="1:4">
      <c r="A41" s="2"/>
      <c r="B41" s="2" t="s">
        <v>123</v>
      </c>
      <c r="C41" s="12" t="s">
        <v>124</v>
      </c>
      <c r="D41" s="4">
        <f>SUMIF('Stock In'!$C:$C,B:B,'Stock In'!$G:$G)</f>
        <v>0</v>
      </c>
    </row>
    <row r="42" spans="1:4">
      <c r="A42" s="2"/>
      <c r="B42" s="2" t="s">
        <v>125</v>
      </c>
      <c r="C42" s="12" t="s">
        <v>126</v>
      </c>
      <c r="D42" s="4">
        <f>SUMIF('Stock In'!$C:$C,B:B,'Stock In'!$G:$G)</f>
        <v>0</v>
      </c>
    </row>
    <row r="43" spans="1:4">
      <c r="A43" s="2"/>
      <c r="B43" s="2" t="s">
        <v>129</v>
      </c>
      <c r="C43" s="12" t="s">
        <v>130</v>
      </c>
      <c r="D43" s="4">
        <f>SUMIF('Stock In'!$C:$C,B:B,'Stock In'!$G:$G)</f>
        <v>0</v>
      </c>
    </row>
    <row r="44" spans="1:4">
      <c r="A44" s="2"/>
      <c r="B44" s="2" t="s">
        <v>131</v>
      </c>
      <c r="C44" s="12" t="s">
        <v>132</v>
      </c>
      <c r="D44" s="4">
        <f>SUMIF('Stock In'!$C:$C,B:B,'Stock In'!$G:$G)</f>
        <v>0</v>
      </c>
    </row>
    <row r="45" spans="1:4">
      <c r="A45" s="2"/>
      <c r="B45" s="2" t="s">
        <v>133</v>
      </c>
      <c r="C45" s="12" t="s">
        <v>134</v>
      </c>
      <c r="D45" s="4">
        <f>SUMIF('Stock In'!$C:$C,B:B,'Stock In'!$G:$G)</f>
        <v>0</v>
      </c>
    </row>
    <row r="46" spans="1:4">
      <c r="A46" s="2"/>
      <c r="B46" s="2" t="s">
        <v>301</v>
      </c>
      <c r="C46" s="12" t="s">
        <v>302</v>
      </c>
      <c r="D46" s="4">
        <f>SUMIF('Stock In'!$C:$C,B:B,'Stock In'!$G:$G)</f>
        <v>0</v>
      </c>
    </row>
    <row r="47" spans="1:4">
      <c r="A47" s="2"/>
      <c r="B47" s="2" t="s">
        <v>135</v>
      </c>
      <c r="C47" s="12" t="s">
        <v>136</v>
      </c>
      <c r="D47" s="4">
        <f>SUMIF('Stock In'!$C:$C,B:B,'Stock In'!$G:$G)</f>
        <v>0</v>
      </c>
    </row>
    <row r="48" spans="1:4">
      <c r="A48" s="2"/>
      <c r="B48" s="2" t="s">
        <v>137</v>
      </c>
      <c r="C48" s="12" t="s">
        <v>138</v>
      </c>
      <c r="D48" s="4">
        <f>SUMIF('Stock In'!$C:$C,B:B,'Stock In'!$G:$G)</f>
        <v>0</v>
      </c>
    </row>
    <row r="49" spans="1:4">
      <c r="A49" s="2"/>
      <c r="B49" s="2" t="s">
        <v>139</v>
      </c>
      <c r="C49" s="12" t="s">
        <v>140</v>
      </c>
      <c r="D49" s="4">
        <f>SUMIF('Stock In'!$C:$C,B:B,'Stock In'!$G:$G)</f>
        <v>0</v>
      </c>
    </row>
    <row r="50" spans="1:4">
      <c r="A50" s="2"/>
      <c r="B50" s="2" t="s">
        <v>143</v>
      </c>
      <c r="C50" s="12" t="s">
        <v>144</v>
      </c>
      <c r="D50" s="4">
        <f>SUMIF('Stock In'!$C:$C,B:B,'Stock In'!$G:$G)</f>
        <v>0</v>
      </c>
    </row>
    <row r="51" spans="1:4">
      <c r="A51" s="2"/>
      <c r="B51" s="2" t="s">
        <v>145</v>
      </c>
      <c r="C51" s="12" t="s">
        <v>146</v>
      </c>
      <c r="D51" s="4">
        <f>SUMIF('Stock In'!$C:$C,B:B,'Stock In'!$G:$G)</f>
        <v>0</v>
      </c>
    </row>
    <row r="52" spans="1:4">
      <c r="A52" s="2"/>
      <c r="B52" s="2" t="s">
        <v>147</v>
      </c>
      <c r="C52" s="12" t="s">
        <v>148</v>
      </c>
      <c r="D52" s="4">
        <f>SUMIF('Stock In'!$C:$C,B:B,'Stock In'!$G:$G)</f>
        <v>0</v>
      </c>
    </row>
    <row r="53" spans="1:4">
      <c r="A53" s="2"/>
      <c r="B53" s="2" t="s">
        <v>544</v>
      </c>
      <c r="C53" s="12" t="s">
        <v>545</v>
      </c>
      <c r="D53" s="4">
        <f>SUMIF('Stock In'!$C:$C,B:B,'Stock In'!$G:$G)</f>
        <v>0</v>
      </c>
    </row>
    <row r="54" spans="1:4">
      <c r="A54" s="2"/>
      <c r="B54" s="2" t="s">
        <v>151</v>
      </c>
      <c r="C54" s="12" t="s">
        <v>152</v>
      </c>
      <c r="D54" s="4">
        <f>SUMIF('Stock In'!$C:$C,B:B,'Stock In'!$G:$G)</f>
        <v>0</v>
      </c>
    </row>
    <row r="55" spans="1:4">
      <c r="A55" s="2"/>
      <c r="B55" s="2" t="s">
        <v>153</v>
      </c>
      <c r="C55" s="12" t="s">
        <v>154</v>
      </c>
      <c r="D55" s="4">
        <f>SUMIF('Stock In'!$C:$C,B:B,'Stock In'!$G:$G)</f>
        <v>0</v>
      </c>
    </row>
    <row r="56" spans="1:4">
      <c r="A56" s="2"/>
      <c r="B56" s="2" t="s">
        <v>157</v>
      </c>
      <c r="C56" s="12" t="s">
        <v>158</v>
      </c>
      <c r="D56" s="4">
        <f>SUMIF('Stock In'!$C:$C,B:B,'Stock In'!$G:$G)</f>
        <v>0</v>
      </c>
    </row>
    <row r="57" spans="1:4">
      <c r="A57" s="2"/>
      <c r="B57" s="2" t="s">
        <v>167</v>
      </c>
      <c r="C57" s="12" t="s">
        <v>168</v>
      </c>
      <c r="D57" s="4">
        <f>SUMIF('Stock In'!$C:$C,B:B,'Stock In'!$G:$G)</f>
        <v>0</v>
      </c>
    </row>
    <row r="58" spans="1:4">
      <c r="A58" s="2"/>
      <c r="B58" s="2" t="s">
        <v>169</v>
      </c>
      <c r="C58" s="12" t="s">
        <v>170</v>
      </c>
      <c r="D58" s="4">
        <f>SUMIF('Stock In'!$C:$C,B:B,'Stock In'!$G:$G)</f>
        <v>0</v>
      </c>
    </row>
    <row r="59" spans="1:4">
      <c r="A59" s="2"/>
      <c r="B59" s="2" t="s">
        <v>171</v>
      </c>
      <c r="C59" s="12" t="s">
        <v>546</v>
      </c>
      <c r="D59" s="4">
        <f>SUMIF('Stock In'!$C:$C,B:B,'Stock In'!$G:$G)</f>
        <v>0</v>
      </c>
    </row>
    <row r="60" spans="1:4">
      <c r="A60" s="2"/>
      <c r="B60" s="2" t="s">
        <v>172</v>
      </c>
      <c r="C60" s="12" t="s">
        <v>173</v>
      </c>
      <c r="D60" s="4">
        <f>SUMIF('Stock In'!$C:$C,B:B,'Stock In'!$G:$G)</f>
        <v>0</v>
      </c>
    </row>
    <row r="61" spans="1:4">
      <c r="A61" s="2"/>
      <c r="B61" s="2" t="s">
        <v>174</v>
      </c>
      <c r="C61" s="12" t="s">
        <v>175</v>
      </c>
      <c r="D61" s="4">
        <f>SUMIF('Stock In'!$C:$C,B:B,'Stock In'!$G:$G)</f>
        <v>0</v>
      </c>
    </row>
    <row r="62" spans="1:4">
      <c r="A62" s="2"/>
      <c r="B62" s="2" t="s">
        <v>176</v>
      </c>
      <c r="C62" s="12" t="s">
        <v>177</v>
      </c>
      <c r="D62" s="4">
        <f>SUMIF('Stock In'!$C:$C,B:B,'Stock In'!$G:$G)</f>
        <v>0</v>
      </c>
    </row>
    <row r="63" spans="1:4">
      <c r="A63" s="2"/>
      <c r="B63" s="2" t="s">
        <v>178</v>
      </c>
      <c r="C63" s="12" t="s">
        <v>179</v>
      </c>
      <c r="D63" s="4">
        <f>SUMIF('Stock In'!$C:$C,B:B,'Stock In'!$G:$G)</f>
        <v>0</v>
      </c>
    </row>
    <row r="64" spans="1:4">
      <c r="A64" s="2"/>
      <c r="B64" s="2" t="s">
        <v>180</v>
      </c>
      <c r="C64" s="12" t="s">
        <v>181</v>
      </c>
      <c r="D64" s="4">
        <f>SUMIF('Stock In'!$C:$C,B:B,'Stock In'!$G:$G)</f>
        <v>0</v>
      </c>
    </row>
    <row r="65" spans="1:4">
      <c r="A65" s="2"/>
      <c r="B65" s="2" t="s">
        <v>182</v>
      </c>
      <c r="C65" s="12" t="s">
        <v>183</v>
      </c>
      <c r="D65" s="4">
        <f>SUMIF('Stock In'!$C:$C,B:B,'Stock In'!$G:$G)</f>
        <v>0</v>
      </c>
    </row>
    <row r="66" spans="1:4">
      <c r="A66" s="2"/>
      <c r="B66" s="2" t="s">
        <v>184</v>
      </c>
      <c r="C66" s="12" t="s">
        <v>185</v>
      </c>
      <c r="D66" s="4">
        <f>SUMIF('Stock In'!$C:$C,B:B,'Stock In'!$G:$G)</f>
        <v>0</v>
      </c>
    </row>
    <row r="67" spans="1:4">
      <c r="A67" s="2"/>
      <c r="B67" s="2" t="s">
        <v>186</v>
      </c>
      <c r="C67" s="12" t="s">
        <v>187</v>
      </c>
      <c r="D67" s="4">
        <f>SUMIF('Stock In'!$C:$C,B:B,'Stock In'!$G:$G)</f>
        <v>0</v>
      </c>
    </row>
    <row r="68" spans="1:4">
      <c r="A68" s="2"/>
      <c r="B68" s="2" t="s">
        <v>188</v>
      </c>
      <c r="C68" s="12" t="s">
        <v>189</v>
      </c>
      <c r="D68" s="4">
        <f>SUMIF('Stock In'!$C:$C,B:B,'Stock In'!$G:$G)</f>
        <v>0</v>
      </c>
    </row>
    <row r="69" spans="1:4">
      <c r="A69" s="2"/>
      <c r="B69" s="2" t="s">
        <v>190</v>
      </c>
      <c r="C69" s="12" t="s">
        <v>191</v>
      </c>
      <c r="D69" s="4">
        <f>SUMIF('Stock In'!$C:$C,B:B,'Stock In'!$G:$G)</f>
        <v>0</v>
      </c>
    </row>
    <row r="70" spans="1:4">
      <c r="A70" s="2"/>
      <c r="B70" s="2" t="s">
        <v>192</v>
      </c>
      <c r="C70" s="12" t="s">
        <v>193</v>
      </c>
      <c r="D70" s="4">
        <f>SUMIF('Stock In'!$C:$C,B:B,'Stock In'!$G:$G)</f>
        <v>0</v>
      </c>
    </row>
    <row r="71" spans="1:4">
      <c r="A71" s="2"/>
      <c r="B71" s="2" t="s">
        <v>194</v>
      </c>
      <c r="C71" s="12" t="s">
        <v>195</v>
      </c>
      <c r="D71" s="4">
        <f>SUMIF('Stock In'!$C:$C,B:B,'Stock In'!$G:$G)</f>
        <v>0</v>
      </c>
    </row>
    <row r="72" spans="1:4">
      <c r="A72" s="2"/>
      <c r="B72" s="2" t="s">
        <v>198</v>
      </c>
      <c r="C72" s="12" t="s">
        <v>199</v>
      </c>
      <c r="D72" s="4">
        <f>SUMIF('Stock In'!$C:$C,B:B,'Stock In'!$G:$G)</f>
        <v>0</v>
      </c>
    </row>
    <row r="73" spans="1:4">
      <c r="A73" s="2"/>
      <c r="B73" s="2" t="s">
        <v>200</v>
      </c>
      <c r="C73" s="12" t="s">
        <v>201</v>
      </c>
      <c r="D73" s="4">
        <f>SUMIF('Stock In'!$C:$C,B:B,'Stock In'!$G:$G)</f>
        <v>0</v>
      </c>
    </row>
    <row r="74" spans="1:4">
      <c r="A74" s="2"/>
      <c r="B74" s="2" t="s">
        <v>202</v>
      </c>
      <c r="C74" s="12" t="s">
        <v>203</v>
      </c>
      <c r="D74" s="4">
        <f>SUMIF('Stock In'!$C:$C,B:B,'Stock In'!$G:$G)</f>
        <v>0</v>
      </c>
    </row>
    <row r="75" spans="1:4">
      <c r="A75" s="2"/>
      <c r="B75" s="2" t="s">
        <v>303</v>
      </c>
      <c r="C75" s="12" t="s">
        <v>304</v>
      </c>
      <c r="D75" s="4">
        <f>SUMIF('Stock In'!$C:$C,B:B,'Stock In'!$G:$G)</f>
        <v>0</v>
      </c>
    </row>
    <row r="76" spans="1:4">
      <c r="A76" s="2"/>
      <c r="B76" s="2" t="s">
        <v>204</v>
      </c>
      <c r="C76" s="12" t="s">
        <v>205</v>
      </c>
      <c r="D76" s="4">
        <f>SUMIF('Stock In'!$C:$C,B:B,'Stock In'!$G:$G)</f>
        <v>0</v>
      </c>
    </row>
    <row r="77" spans="1:4">
      <c r="A77" s="2"/>
      <c r="B77" s="2" t="s">
        <v>206</v>
      </c>
      <c r="C77" s="12" t="s">
        <v>207</v>
      </c>
      <c r="D77" s="4">
        <f>SUMIF('Stock In'!$C:$C,B:B,'Stock In'!$G:$G)</f>
        <v>0</v>
      </c>
    </row>
    <row r="78" spans="1:4">
      <c r="A78" s="2"/>
      <c r="B78" s="2" t="s">
        <v>305</v>
      </c>
      <c r="C78" s="12" t="s">
        <v>306</v>
      </c>
      <c r="D78" s="4">
        <f>SUMIF('Stock In'!$C:$C,B:B,'Stock In'!$G:$G)</f>
        <v>27960</v>
      </c>
    </row>
    <row r="79" spans="1:4">
      <c r="A79" s="2"/>
      <c r="B79" s="2" t="s">
        <v>208</v>
      </c>
      <c r="C79" s="12" t="s">
        <v>209</v>
      </c>
      <c r="D79" s="4">
        <f>SUMIF('Stock In'!$C:$C,B:B,'Stock In'!$G:$G)</f>
        <v>14580</v>
      </c>
    </row>
    <row r="80" spans="1:4">
      <c r="A80" s="2"/>
      <c r="B80" s="2" t="s">
        <v>210</v>
      </c>
      <c r="C80" s="12" t="s">
        <v>211</v>
      </c>
      <c r="D80" s="4">
        <f>SUMIF('Stock In'!$C:$C,B:B,'Stock In'!$G:$G)</f>
        <v>0</v>
      </c>
    </row>
    <row r="81" spans="1:4">
      <c r="A81" s="2"/>
      <c r="B81" s="2" t="s">
        <v>212</v>
      </c>
      <c r="C81" s="12" t="s">
        <v>213</v>
      </c>
      <c r="D81" s="4">
        <f>SUMIF('Stock In'!$C:$C,B:B,'Stock In'!$G:$G)</f>
        <v>28800</v>
      </c>
    </row>
    <row r="82" spans="1:4">
      <c r="A82" s="2"/>
      <c r="B82" s="2" t="s">
        <v>214</v>
      </c>
      <c r="C82" s="12" t="s">
        <v>215</v>
      </c>
      <c r="D82" s="4">
        <f>SUMIF('Stock In'!$C:$C,B:B,'Stock In'!$G:$G)</f>
        <v>0</v>
      </c>
    </row>
    <row r="83" spans="1:4">
      <c r="A83" s="2"/>
      <c r="B83" s="2" t="s">
        <v>420</v>
      </c>
      <c r="C83" s="12" t="s">
        <v>457</v>
      </c>
      <c r="D83" s="4">
        <f>SUMIF('Stock In'!$C:$C,B:B,'Stock In'!$G:$G)</f>
        <v>1800</v>
      </c>
    </row>
    <row r="84" spans="1:4">
      <c r="A84" s="2"/>
      <c r="B84" s="2" t="s">
        <v>273</v>
      </c>
      <c r="C84" s="12" t="s">
        <v>274</v>
      </c>
      <c r="D84" s="4">
        <f>SUMIF('Stock In'!$C:$C,B:B,'Stock In'!$G:$G)</f>
        <v>0</v>
      </c>
    </row>
    <row r="85" spans="1:4">
      <c r="A85" s="2"/>
      <c r="B85" s="2" t="s">
        <v>432</v>
      </c>
      <c r="C85" s="12" t="s">
        <v>469</v>
      </c>
      <c r="D85" s="4">
        <f>SUMIF('Stock In'!$C:$C,B:B,'Stock In'!$G:$G)</f>
        <v>8100</v>
      </c>
    </row>
    <row r="86" spans="1:4">
      <c r="A86" s="2"/>
      <c r="B86" s="2" t="s">
        <v>443</v>
      </c>
      <c r="C86" s="12" t="s">
        <v>479</v>
      </c>
      <c r="D86" s="4">
        <f>SUMIF('Stock In'!$C:$C,B:B,'Stock In'!$G:$G)</f>
        <v>0</v>
      </c>
    </row>
    <row r="87" spans="1:4">
      <c r="A87" s="2"/>
      <c r="B87" s="2" t="s">
        <v>224</v>
      </c>
      <c r="C87" s="12" t="s">
        <v>225</v>
      </c>
      <c r="D87" s="4">
        <f>SUMIF('Stock In'!$C:$C,B:B,'Stock In'!$G:$G)</f>
        <v>0</v>
      </c>
    </row>
    <row r="88" spans="1:4">
      <c r="A88" s="2"/>
      <c r="B88" s="2" t="s">
        <v>226</v>
      </c>
      <c r="C88" s="12" t="s">
        <v>227</v>
      </c>
      <c r="D88" s="4">
        <f>SUMIF('Stock In'!$C:$C,B:B,'Stock In'!$G:$G)</f>
        <v>0</v>
      </c>
    </row>
    <row r="89" spans="1:4">
      <c r="A89" s="2"/>
      <c r="B89" s="2" t="s">
        <v>228</v>
      </c>
      <c r="C89" s="12" t="s">
        <v>229</v>
      </c>
      <c r="D89" s="4">
        <f>SUMIF('Stock In'!$C:$C,B:B,'Stock In'!$G:$G)</f>
        <v>51182</v>
      </c>
    </row>
    <row r="90" spans="1:4">
      <c r="A90" s="2"/>
      <c r="B90" s="2" t="s">
        <v>230</v>
      </c>
      <c r="C90" s="12" t="s">
        <v>231</v>
      </c>
      <c r="D90" s="4">
        <f>SUMIF('Stock In'!$C:$C,B:B,'Stock In'!$G:$G)</f>
        <v>0</v>
      </c>
    </row>
    <row r="91" spans="1:4">
      <c r="A91" s="2"/>
      <c r="B91" s="2" t="s">
        <v>232</v>
      </c>
      <c r="C91" s="12" t="s">
        <v>233</v>
      </c>
      <c r="D91" s="4">
        <f>SUMIF('Stock In'!$C:$C,B:B,'Stock In'!$G:$G)</f>
        <v>0</v>
      </c>
    </row>
    <row r="92" spans="1:4">
      <c r="A92" s="2"/>
      <c r="B92" s="2" t="s">
        <v>307</v>
      </c>
      <c r="C92" s="12" t="s">
        <v>308</v>
      </c>
      <c r="D92" s="4">
        <f>SUMIF('Stock In'!$C:$C,B:B,'Stock In'!$G:$G)</f>
        <v>0</v>
      </c>
    </row>
    <row r="93" spans="1:4">
      <c r="A93" s="2"/>
      <c r="B93" s="2" t="s">
        <v>325</v>
      </c>
      <c r="C93" s="12" t="s">
        <v>326</v>
      </c>
      <c r="D93" s="4">
        <f>SUMIF('Stock In'!$C:$C,B:B,'Stock In'!$G:$G)</f>
        <v>0</v>
      </c>
    </row>
    <row r="94" spans="1:4">
      <c r="A94" s="2"/>
      <c r="B94" s="2" t="s">
        <v>234</v>
      </c>
      <c r="C94" s="12" t="s">
        <v>547</v>
      </c>
      <c r="D94" s="4">
        <f>SUMIF('Stock In'!$C:$C,B:B,'Stock In'!$G:$G)</f>
        <v>0</v>
      </c>
    </row>
    <row r="95" spans="1:4">
      <c r="A95" s="2"/>
      <c r="B95" s="2" t="s">
        <v>235</v>
      </c>
      <c r="C95" s="12" t="s">
        <v>548</v>
      </c>
      <c r="D95" s="4">
        <f>SUMIF('Stock In'!$C:$C,B:B,'Stock In'!$G:$G)</f>
        <v>0</v>
      </c>
    </row>
    <row r="96" spans="1:4">
      <c r="A96" s="2"/>
      <c r="B96" s="2" t="s">
        <v>236</v>
      </c>
      <c r="C96" s="12" t="s">
        <v>549</v>
      </c>
      <c r="D96" s="4">
        <f>SUMIF('Stock In'!$C:$C,B:B,'Stock In'!$G:$G)</f>
        <v>0</v>
      </c>
    </row>
    <row r="97" spans="1:4">
      <c r="A97" s="2"/>
      <c r="B97" s="2" t="s">
        <v>237</v>
      </c>
      <c r="C97" s="12" t="s">
        <v>238</v>
      </c>
      <c r="D97" s="4">
        <f>SUMIF('Stock In'!$C:$C,B:B,'Stock In'!$G:$G)</f>
        <v>0</v>
      </c>
    </row>
    <row r="98" spans="1:4">
      <c r="A98" s="2"/>
      <c r="B98" s="2" t="s">
        <v>345</v>
      </c>
      <c r="C98" s="12" t="s">
        <v>346</v>
      </c>
      <c r="D98" s="4">
        <f>SUMIF('Stock In'!$C:$C,B:B,'Stock In'!$G:$G)</f>
        <v>1800</v>
      </c>
    </row>
    <row r="99" spans="1:4">
      <c r="B99" s="2" t="s">
        <v>347</v>
      </c>
      <c r="C99" s="12" t="s">
        <v>348</v>
      </c>
      <c r="D99" s="4">
        <f>SUMIF('Stock In'!$C:$C,B:B,'Stock In'!$G:$G)</f>
        <v>1800</v>
      </c>
    </row>
    <row r="100" spans="1:4">
      <c r="B100" s="2" t="s">
        <v>329</v>
      </c>
      <c r="C100" s="12" t="s">
        <v>330</v>
      </c>
      <c r="D100" s="4">
        <f>SUMIF('Stock In'!$C:$C,B:B,'Stock In'!$G:$G)</f>
        <v>0</v>
      </c>
    </row>
    <row r="101" spans="1:4">
      <c r="B101" s="2" t="s">
        <v>327</v>
      </c>
      <c r="C101" s="12" t="s">
        <v>328</v>
      </c>
      <c r="D101" s="4">
        <f>SUMIF('Stock In'!$C:$C,B:B,'Stock In'!$G:$G)</f>
        <v>0</v>
      </c>
    </row>
    <row r="102" spans="1:4">
      <c r="B102" s="2" t="s">
        <v>550</v>
      </c>
      <c r="C102" s="12" t="s">
        <v>551</v>
      </c>
      <c r="D102" s="4">
        <f>SUMIF('Stock In'!$C:$C,B:B,'Stock In'!$G:$G)</f>
        <v>0</v>
      </c>
    </row>
    <row r="103" spans="1:4">
      <c r="B103" s="2" t="s">
        <v>444</v>
      </c>
      <c r="C103" s="12" t="s">
        <v>480</v>
      </c>
      <c r="D103" s="4">
        <f>SUMIF('Stock In'!$C:$C,B:B,'Stock In'!$G:$G)</f>
        <v>0</v>
      </c>
    </row>
    <row r="104" spans="1:4">
      <c r="B104" s="2" t="s">
        <v>275</v>
      </c>
      <c r="C104" s="12" t="s">
        <v>276</v>
      </c>
      <c r="D104" s="4">
        <f>SUMIF('Stock In'!$C:$C,B:B,'Stock In'!$G:$G)</f>
        <v>19440</v>
      </c>
    </row>
    <row r="105" spans="1:4">
      <c r="B105" s="2" t="s">
        <v>552</v>
      </c>
      <c r="C105" s="12" t="s">
        <v>553</v>
      </c>
      <c r="D105" s="4">
        <f>SUMIF('Stock In'!$C:$C,B:B,'Stock In'!$G:$G)</f>
        <v>0</v>
      </c>
    </row>
    <row r="106" spans="1:4">
      <c r="B106" s="2" t="s">
        <v>554</v>
      </c>
      <c r="C106" s="12" t="s">
        <v>555</v>
      </c>
      <c r="D106" s="4">
        <f>SUMIF('Stock In'!$C:$C,B:B,'Stock In'!$G:$G)</f>
        <v>0</v>
      </c>
    </row>
    <row r="107" spans="1:4">
      <c r="B107" s="2" t="s">
        <v>556</v>
      </c>
      <c r="C107" s="12" t="s">
        <v>557</v>
      </c>
      <c r="D107" s="4">
        <f>SUMIF('Stock In'!$C:$C,B:B,'Stock In'!$G:$G)</f>
        <v>0</v>
      </c>
    </row>
    <row r="108" spans="1:4">
      <c r="B108" s="2" t="s">
        <v>558</v>
      </c>
      <c r="C108" s="12" t="s">
        <v>559</v>
      </c>
      <c r="D108" s="4">
        <f>SUMIF('Stock In'!$C:$C,B:B,'Stock In'!$G:$G)</f>
        <v>0</v>
      </c>
    </row>
    <row r="109" spans="1:4">
      <c r="B109" s="2" t="s">
        <v>560</v>
      </c>
      <c r="C109" s="12" t="s">
        <v>561</v>
      </c>
      <c r="D109" s="4">
        <f>SUMIF('Stock In'!$C:$C,B:B,'Stock In'!$G:$G)</f>
        <v>0</v>
      </c>
    </row>
    <row r="110" spans="1:4">
      <c r="B110" s="2" t="s">
        <v>309</v>
      </c>
      <c r="C110" s="12" t="s">
        <v>310</v>
      </c>
      <c r="D110" s="4">
        <f>SUMIF('Stock In'!$C:$C,B:B,'Stock In'!$G:$G)</f>
        <v>0</v>
      </c>
    </row>
    <row r="111" spans="1:4">
      <c r="B111" s="2" t="s">
        <v>311</v>
      </c>
      <c r="C111" s="12" t="s">
        <v>312</v>
      </c>
      <c r="D111" s="4">
        <f>SUMIF('Stock In'!$C:$C,B:B,'Stock In'!$G:$G)</f>
        <v>0</v>
      </c>
    </row>
    <row r="112" spans="1:4">
      <c r="B112" s="2" t="s">
        <v>243</v>
      </c>
      <c r="C112" s="12" t="s">
        <v>244</v>
      </c>
      <c r="D112" s="4">
        <f>SUMIF('Stock In'!$C:$C,B:B,'Stock In'!$G:$G)</f>
        <v>0</v>
      </c>
    </row>
    <row r="113" spans="2:4">
      <c r="B113" s="2" t="s">
        <v>245</v>
      </c>
      <c r="C113" s="12" t="s">
        <v>246</v>
      </c>
      <c r="D113" s="4">
        <f>SUMIF('Stock In'!$C:$C,B:B,'Stock In'!$G:$G)</f>
        <v>0</v>
      </c>
    </row>
    <row r="114" spans="2:4">
      <c r="B114" s="2" t="s">
        <v>313</v>
      </c>
      <c r="C114" s="12" t="s">
        <v>314</v>
      </c>
      <c r="D114" s="4">
        <f>SUMIF('Stock In'!$C:$C,B:B,'Stock In'!$G:$G)</f>
        <v>0</v>
      </c>
    </row>
    <row r="115" spans="2:4">
      <c r="B115" s="2" t="s">
        <v>315</v>
      </c>
      <c r="C115" s="12" t="s">
        <v>316</v>
      </c>
      <c r="D115" s="4">
        <f>SUMIF('Stock In'!$C:$C,B:B,'Stock In'!$G:$G)</f>
        <v>0</v>
      </c>
    </row>
    <row r="116" spans="2:4">
      <c r="B116" s="2" t="s">
        <v>413</v>
      </c>
      <c r="C116" s="12" t="s">
        <v>414</v>
      </c>
      <c r="D116" s="4">
        <f>SUMIF('Stock In'!$C:$C,B:B,'Stock In'!$G:$G)</f>
        <v>0</v>
      </c>
    </row>
    <row r="117" spans="2:4">
      <c r="B117" s="2" t="s">
        <v>415</v>
      </c>
      <c r="C117" s="12" t="s">
        <v>416</v>
      </c>
      <c r="D117" s="4">
        <f>SUMIF('Stock In'!$C:$C,B:B,'Stock In'!$G:$G)</f>
        <v>0</v>
      </c>
    </row>
    <row r="118" spans="2:4">
      <c r="B118" s="2" t="s">
        <v>317</v>
      </c>
      <c r="C118" s="12" t="s">
        <v>318</v>
      </c>
      <c r="D118" s="4">
        <f>SUMIF('Stock In'!$C:$C,B:B,'Stock In'!$G:$G)</f>
        <v>0</v>
      </c>
    </row>
    <row r="119" spans="2:4">
      <c r="B119" s="2" t="s">
        <v>247</v>
      </c>
      <c r="C119" s="12" t="s">
        <v>248</v>
      </c>
      <c r="D119" s="4">
        <f>SUMIF('Stock In'!$C:$C,B:B,'Stock In'!$G:$G)</f>
        <v>0</v>
      </c>
    </row>
    <row r="120" spans="2:4">
      <c r="B120" s="2" t="s">
        <v>249</v>
      </c>
      <c r="C120" s="12" t="s">
        <v>250</v>
      </c>
      <c r="D120" s="4">
        <f>SUMIF('Stock In'!$C:$C,B:B,'Stock In'!$G:$G)</f>
        <v>0</v>
      </c>
    </row>
    <row r="121" spans="2:4">
      <c r="B121" s="2" t="s">
        <v>251</v>
      </c>
      <c r="C121" s="12" t="s">
        <v>252</v>
      </c>
      <c r="D121" s="4">
        <f>SUMIF('Stock In'!$C:$C,B:B,'Stock In'!$G:$G)</f>
        <v>0</v>
      </c>
    </row>
    <row r="122" spans="2:4">
      <c r="B122" s="2" t="s">
        <v>253</v>
      </c>
      <c r="C122" s="12" t="s">
        <v>254</v>
      </c>
      <c r="D122" s="4">
        <f>SUMIF('Stock In'!$C:$C,B:B,'Stock In'!$G:$G)</f>
        <v>0</v>
      </c>
    </row>
    <row r="123" spans="2:4">
      <c r="B123" s="2" t="s">
        <v>428</v>
      </c>
      <c r="C123" s="12" t="s">
        <v>465</v>
      </c>
      <c r="D123" s="4">
        <f>SUMIF('Stock In'!$C:$C,B:B,'Stock In'!$G:$G)</f>
        <v>0</v>
      </c>
    </row>
    <row r="124" spans="2:4">
      <c r="B124" s="2" t="s">
        <v>429</v>
      </c>
      <c r="C124" s="12" t="s">
        <v>466</v>
      </c>
      <c r="D124" s="4">
        <f>SUMIF('Stock In'!$C:$C,B:B,'Stock In'!$G:$G)</f>
        <v>0</v>
      </c>
    </row>
    <row r="125" spans="2:4">
      <c r="B125" s="2" t="s">
        <v>562</v>
      </c>
      <c r="C125" s="12" t="s">
        <v>563</v>
      </c>
      <c r="D125" s="4">
        <f>SUMIF('Stock In'!$C:$C,B:B,'Stock In'!$G:$G)</f>
        <v>0</v>
      </c>
    </row>
    <row r="126" spans="2:4">
      <c r="B126" s="2" t="s">
        <v>564</v>
      </c>
      <c r="C126" s="12" t="s">
        <v>565</v>
      </c>
      <c r="D126" s="4">
        <f>SUMIF('Stock In'!$C:$C,B:B,'Stock In'!$G:$G)</f>
        <v>0</v>
      </c>
    </row>
    <row r="127" spans="2:4">
      <c r="B127" s="2" t="s">
        <v>566</v>
      </c>
      <c r="C127" s="12" t="s">
        <v>567</v>
      </c>
      <c r="D127" s="4">
        <f>SUMIF('Stock In'!$C:$C,B:B,'Stock In'!$G:$G)</f>
        <v>0</v>
      </c>
    </row>
    <row r="128" spans="2:4">
      <c r="B128" s="2" t="s">
        <v>568</v>
      </c>
      <c r="C128" s="12" t="s">
        <v>569</v>
      </c>
      <c r="D128" s="4">
        <f>SUMIF('Stock In'!$C:$C,B:B,'Stock In'!$G:$G)</f>
        <v>0</v>
      </c>
    </row>
    <row r="129" spans="2:4">
      <c r="B129" s="2" t="s">
        <v>319</v>
      </c>
      <c r="C129" s="12" t="s">
        <v>320</v>
      </c>
      <c r="D129" s="4">
        <f>SUMIF('Stock In'!$C:$C,B:B,'Stock In'!$G:$G)</f>
        <v>0</v>
      </c>
    </row>
    <row r="130" spans="2:4">
      <c r="B130" s="2" t="s">
        <v>570</v>
      </c>
      <c r="C130" s="12" t="s">
        <v>571</v>
      </c>
      <c r="D130" s="4">
        <f>SUMIF('Stock In'!$C:$C,B:B,'Stock In'!$G:$G)</f>
        <v>0</v>
      </c>
    </row>
    <row r="131" spans="2:4">
      <c r="B131" s="2" t="s">
        <v>359</v>
      </c>
      <c r="C131" s="12" t="s">
        <v>360</v>
      </c>
      <c r="D131" s="4">
        <f>SUMIF('Stock In'!$C:$C,B:B,'Stock In'!$G:$G)</f>
        <v>0</v>
      </c>
    </row>
    <row r="132" spans="2:4">
      <c r="B132" s="2" t="s">
        <v>361</v>
      </c>
      <c r="C132" s="12" t="s">
        <v>362</v>
      </c>
      <c r="D132" s="4">
        <f>SUMIF('Stock In'!$C:$C,B:B,'Stock In'!$G:$G)</f>
        <v>0</v>
      </c>
    </row>
    <row r="133" spans="2:4">
      <c r="B133" s="2" t="s">
        <v>277</v>
      </c>
      <c r="C133" s="12" t="s">
        <v>278</v>
      </c>
      <c r="D133" s="4">
        <f>SUMIF('Stock In'!$C:$C,B:B,'Stock In'!$G:$G)</f>
        <v>0</v>
      </c>
    </row>
    <row r="134" spans="2:4">
      <c r="B134" s="2" t="s">
        <v>279</v>
      </c>
      <c r="C134" s="12" t="s">
        <v>280</v>
      </c>
      <c r="D134" s="4">
        <f>SUMIF('Stock In'!$C:$C,B:B,'Stock In'!$G:$G)</f>
        <v>0</v>
      </c>
    </row>
    <row r="135" spans="2:4">
      <c r="B135" s="2" t="s">
        <v>439</v>
      </c>
      <c r="C135" s="12" t="s">
        <v>476</v>
      </c>
      <c r="D135" s="4">
        <f>SUMIF('Stock In'!$C:$C,B:B,'Stock In'!$G:$G)</f>
        <v>0</v>
      </c>
    </row>
    <row r="136" spans="2:4">
      <c r="B136" s="2" t="s">
        <v>440</v>
      </c>
      <c r="C136" s="12" t="s">
        <v>477</v>
      </c>
      <c r="D136" s="4">
        <f>SUMIF('Stock In'!$C:$C,B:B,'Stock In'!$G:$G)</f>
        <v>0</v>
      </c>
    </row>
    <row r="137" spans="2:4">
      <c r="B137" s="2" t="s">
        <v>572</v>
      </c>
      <c r="C137" s="12" t="s">
        <v>573</v>
      </c>
      <c r="D137" s="4">
        <f>SUMIF('Stock In'!$C:$C,B:B,'Stock In'!$G:$G)</f>
        <v>0</v>
      </c>
    </row>
    <row r="138" spans="2:4">
      <c r="B138" s="2" t="s">
        <v>574</v>
      </c>
      <c r="C138" s="12" t="s">
        <v>575</v>
      </c>
      <c r="D138" s="4">
        <f>SUMIF('Stock In'!$C:$C,B:B,'Stock In'!$G:$G)</f>
        <v>0</v>
      </c>
    </row>
    <row r="139" spans="2:4">
      <c r="B139" s="2" t="s">
        <v>255</v>
      </c>
      <c r="C139" s="12" t="s">
        <v>256</v>
      </c>
      <c r="D139" s="4">
        <f>SUMIF('Stock In'!$C:$C,B:B,'Stock In'!$G:$G)</f>
        <v>0</v>
      </c>
    </row>
    <row r="140" spans="2:4">
      <c r="B140" s="2" t="s">
        <v>576</v>
      </c>
      <c r="C140" s="12" t="s">
        <v>577</v>
      </c>
      <c r="D140" s="4">
        <f>SUMIF('Stock In'!$C:$C,B:B,'Stock In'!$G:$G)</f>
        <v>0</v>
      </c>
    </row>
    <row r="141" spans="2:4">
      <c r="B141" s="2" t="s">
        <v>578</v>
      </c>
      <c r="C141" s="12" t="s">
        <v>579</v>
      </c>
      <c r="D141" s="4">
        <f>SUMIF('Stock In'!$C:$C,B:B,'Stock In'!$G:$G)</f>
        <v>0</v>
      </c>
    </row>
    <row r="142" spans="2:4">
      <c r="B142" s="2" t="s">
        <v>580</v>
      </c>
      <c r="C142" s="12" t="s">
        <v>581</v>
      </c>
      <c r="D142" s="4">
        <f>SUMIF('Stock In'!$C:$C,B:B,'Stock In'!$G:$G)</f>
        <v>0</v>
      </c>
    </row>
    <row r="143" spans="2:4">
      <c r="B143" s="2" t="s">
        <v>377</v>
      </c>
      <c r="C143" s="12" t="s">
        <v>378</v>
      </c>
      <c r="D143" s="4">
        <f>SUMIF('Stock In'!$C:$C,B:B,'Stock In'!$G:$G)</f>
        <v>0</v>
      </c>
    </row>
    <row r="144" spans="2:4">
      <c r="B144" s="2" t="s">
        <v>375</v>
      </c>
      <c r="C144" s="12" t="s">
        <v>376</v>
      </c>
      <c r="D144" s="4">
        <f>SUMIF('Stock In'!$C:$C,B:B,'Stock In'!$G:$G)</f>
        <v>0</v>
      </c>
    </row>
    <row r="145" spans="2:4">
      <c r="B145" s="2" t="s">
        <v>453</v>
      </c>
      <c r="C145" s="12" t="s">
        <v>489</v>
      </c>
      <c r="D145" s="4">
        <f>SUMIF('Stock In'!$C:$C,B:B,'Stock In'!$G:$G)</f>
        <v>0</v>
      </c>
    </row>
    <row r="146" spans="2:4">
      <c r="B146" s="2" t="s">
        <v>454</v>
      </c>
      <c r="C146" s="12" t="s">
        <v>490</v>
      </c>
      <c r="D146" s="4">
        <f>SUMIF('Stock In'!$C:$C,B:B,'Stock In'!$G:$G)</f>
        <v>0</v>
      </c>
    </row>
    <row r="147" spans="2:4">
      <c r="B147" s="2" t="s">
        <v>393</v>
      </c>
      <c r="C147" s="12" t="s">
        <v>394</v>
      </c>
      <c r="D147" s="4">
        <f>SUMIF('Stock In'!$C:$C,B:B,'Stock In'!$G:$G)</f>
        <v>0</v>
      </c>
    </row>
    <row r="148" spans="2:4">
      <c r="B148" s="2" t="s">
        <v>395</v>
      </c>
      <c r="C148" s="12" t="s">
        <v>396</v>
      </c>
      <c r="D148" s="4">
        <f>SUMIF('Stock In'!$C:$C,B:B,'Stock In'!$G:$G)</f>
        <v>0</v>
      </c>
    </row>
    <row r="149" spans="2:4">
      <c r="B149" s="2" t="s">
        <v>582</v>
      </c>
      <c r="C149" s="12" t="s">
        <v>583</v>
      </c>
      <c r="D149" s="4">
        <f>SUMIF('Stock In'!$C:$C,B:B,'Stock In'!$G:$G)</f>
        <v>0</v>
      </c>
    </row>
    <row r="150" spans="2:4">
      <c r="B150" s="2" t="s">
        <v>584</v>
      </c>
      <c r="C150" s="12" t="s">
        <v>585</v>
      </c>
      <c r="D150" s="4">
        <f>SUMIF('Stock In'!$C:$C,B:B,'Stock In'!$G:$G)</f>
        <v>0</v>
      </c>
    </row>
    <row r="151" spans="2:4">
      <c r="B151" s="2" t="s">
        <v>331</v>
      </c>
      <c r="C151" s="12" t="s">
        <v>332</v>
      </c>
      <c r="D151" s="4">
        <f>SUMIF('Stock In'!$C:$C,B:B,'Stock In'!$G:$G)</f>
        <v>0</v>
      </c>
    </row>
    <row r="152" spans="2:4">
      <c r="B152" s="2" t="s">
        <v>333</v>
      </c>
      <c r="C152" s="12" t="s">
        <v>334</v>
      </c>
      <c r="D152" s="4">
        <f>SUMIF('Stock In'!$C:$C,B:B,'Stock In'!$G:$G)</f>
        <v>0</v>
      </c>
    </row>
    <row r="153" spans="2:4">
      <c r="B153" s="2" t="s">
        <v>586</v>
      </c>
      <c r="C153" s="12" t="s">
        <v>587</v>
      </c>
      <c r="D153" s="4">
        <f>SUMIF('Stock In'!$C:$C,B:B,'Stock In'!$G:$G)</f>
        <v>0</v>
      </c>
    </row>
    <row r="154" spans="2:4">
      <c r="B154" s="2" t="s">
        <v>588</v>
      </c>
      <c r="C154" s="12" t="s">
        <v>589</v>
      </c>
      <c r="D154" s="4">
        <f>SUMIF('Stock In'!$C:$C,B:B,'Stock In'!$G:$G)</f>
        <v>0</v>
      </c>
    </row>
    <row r="155" spans="2:4">
      <c r="B155" s="2" t="s">
        <v>590</v>
      </c>
      <c r="C155" s="12" t="s">
        <v>591</v>
      </c>
      <c r="D155" s="4">
        <f>SUMIF('Stock In'!$C:$C,B:B,'Stock In'!$G:$G)</f>
        <v>0</v>
      </c>
    </row>
    <row r="156" spans="2:4">
      <c r="B156" s="2" t="s">
        <v>592</v>
      </c>
      <c r="C156" s="12" t="s">
        <v>593</v>
      </c>
      <c r="D156" s="4">
        <f>SUMIF('Stock In'!$C:$C,B:B,'Stock In'!$G:$G)</f>
        <v>0</v>
      </c>
    </row>
    <row r="157" spans="2:4">
      <c r="B157" s="2" t="s">
        <v>594</v>
      </c>
      <c r="C157" s="12" t="s">
        <v>595</v>
      </c>
      <c r="D157" s="4">
        <f>SUMIF('Stock In'!$C:$C,B:B,'Stock In'!$G:$G)</f>
        <v>0</v>
      </c>
    </row>
    <row r="158" spans="2:4">
      <c r="B158" s="2" t="s">
        <v>596</v>
      </c>
      <c r="C158" s="12" t="s">
        <v>597</v>
      </c>
      <c r="D158" s="4">
        <f>SUMIF('Stock In'!$C:$C,B:B,'Stock In'!$G:$G)</f>
        <v>0</v>
      </c>
    </row>
    <row r="159" spans="2:4">
      <c r="B159" s="2" t="s">
        <v>598</v>
      </c>
      <c r="C159" s="12" t="s">
        <v>599</v>
      </c>
      <c r="D159" s="4">
        <f>SUMIF('Stock In'!$C:$C,B:B,'Stock In'!$G:$G)</f>
        <v>0</v>
      </c>
    </row>
    <row r="160" spans="2:4">
      <c r="B160" s="2" t="s">
        <v>600</v>
      </c>
      <c r="C160" s="12" t="s">
        <v>601</v>
      </c>
      <c r="D160" s="4">
        <f>SUMIF('Stock In'!$C:$C,B:B,'Stock In'!$G:$G)</f>
        <v>0</v>
      </c>
    </row>
    <row r="161" spans="2:4">
      <c r="B161" s="2" t="s">
        <v>602</v>
      </c>
      <c r="C161" s="12" t="s">
        <v>603</v>
      </c>
      <c r="D161" s="4">
        <f>SUMIF('Stock In'!$C:$C,B:B,'Stock In'!$G:$G)</f>
        <v>0</v>
      </c>
    </row>
    <row r="162" spans="2:4">
      <c r="B162" s="2" t="s">
        <v>604</v>
      </c>
      <c r="C162" s="12" t="s">
        <v>605</v>
      </c>
      <c r="D162" s="4">
        <f>SUMIF('Stock In'!$C:$C,B:B,'Stock In'!$G:$G)</f>
        <v>0</v>
      </c>
    </row>
    <row r="163" spans="2:4">
      <c r="B163" s="2" t="s">
        <v>606</v>
      </c>
      <c r="C163" s="12" t="s">
        <v>607</v>
      </c>
      <c r="D163" s="4">
        <f>SUMIF('Stock In'!$C:$C,B:B,'Stock In'!$G:$G)</f>
        <v>0</v>
      </c>
    </row>
    <row r="164" spans="2:4">
      <c r="B164" s="2" t="s">
        <v>608</v>
      </c>
      <c r="C164" s="12" t="s">
        <v>609</v>
      </c>
      <c r="D164" s="4">
        <f>SUMIF('Stock In'!$C:$C,B:B,'Stock In'!$G:$G)</f>
        <v>0</v>
      </c>
    </row>
    <row r="165" spans="2:4">
      <c r="B165" s="2" t="s">
        <v>610</v>
      </c>
      <c r="C165" s="12" t="s">
        <v>611</v>
      </c>
      <c r="D165" s="4">
        <f>SUMIF('Stock In'!$C:$C,B:B,'Stock In'!$G:$G)</f>
        <v>0</v>
      </c>
    </row>
    <row r="166" spans="2:4">
      <c r="B166" s="2" t="s">
        <v>612</v>
      </c>
      <c r="C166" s="12" t="s">
        <v>613</v>
      </c>
      <c r="D166" s="4">
        <f>SUMIF('Stock In'!$C:$C,B:B,'Stock In'!$G:$G)</f>
        <v>0</v>
      </c>
    </row>
    <row r="167" spans="2:4">
      <c r="B167" s="2" t="s">
        <v>614</v>
      </c>
      <c r="C167" s="12" t="s">
        <v>615</v>
      </c>
      <c r="D167" s="4">
        <f>SUMIF('Stock In'!$C:$C,B:B,'Stock In'!$G:$G)</f>
        <v>0</v>
      </c>
    </row>
    <row r="168" spans="2:4">
      <c r="B168" s="2" t="s">
        <v>616</v>
      </c>
      <c r="C168" s="12" t="s">
        <v>617</v>
      </c>
      <c r="D168" s="4">
        <f>SUMIF('Stock In'!$C:$C,B:B,'Stock In'!$G:$G)</f>
        <v>0</v>
      </c>
    </row>
    <row r="169" spans="2:4">
      <c r="B169" s="2" t="s">
        <v>618</v>
      </c>
      <c r="C169" s="12" t="s">
        <v>619</v>
      </c>
      <c r="D169" s="4">
        <f>SUMIF('Stock In'!$C:$C,B:B,'Stock In'!$G:$G)</f>
        <v>0</v>
      </c>
    </row>
    <row r="170" spans="2:4">
      <c r="B170" s="2" t="s">
        <v>620</v>
      </c>
      <c r="C170" s="12" t="s">
        <v>621</v>
      </c>
      <c r="D170" s="4">
        <f>SUMIF('Stock In'!$C:$C,B:B,'Stock In'!$G:$G)</f>
        <v>0</v>
      </c>
    </row>
    <row r="171" spans="2:4">
      <c r="B171" s="2" t="s">
        <v>622</v>
      </c>
      <c r="C171" s="12" t="s">
        <v>623</v>
      </c>
      <c r="D171" s="4">
        <f>SUMIF('Stock In'!$C:$C,B:B,'Stock In'!$G:$G)</f>
        <v>0</v>
      </c>
    </row>
    <row r="172" spans="2:4">
      <c r="B172" s="2" t="s">
        <v>624</v>
      </c>
      <c r="C172" s="12" t="s">
        <v>625</v>
      </c>
      <c r="D172" s="4">
        <f>SUMIF('Stock In'!$C:$C,B:B,'Stock In'!$G:$G)</f>
        <v>0</v>
      </c>
    </row>
    <row r="173" spans="2:4">
      <c r="B173" s="2" t="s">
        <v>626</v>
      </c>
      <c r="C173" s="12" t="s">
        <v>627</v>
      </c>
      <c r="D173" s="4">
        <f>SUMIF('Stock In'!$C:$C,B:B,'Stock In'!$G:$G)</f>
        <v>0</v>
      </c>
    </row>
    <row r="174" spans="2:4">
      <c r="B174" s="2" t="s">
        <v>628</v>
      </c>
      <c r="C174" s="12" t="s">
        <v>629</v>
      </c>
      <c r="D174" s="4">
        <f>SUMIF('Stock In'!$C:$C,B:B,'Stock In'!$G:$G)</f>
        <v>0</v>
      </c>
    </row>
    <row r="175" spans="2:4">
      <c r="B175" s="2" t="s">
        <v>630</v>
      </c>
      <c r="C175" s="12" t="s">
        <v>631</v>
      </c>
      <c r="D175" s="4">
        <f>SUMIF('Stock In'!$C:$C,B:B,'Stock In'!$G:$G)</f>
        <v>0</v>
      </c>
    </row>
    <row r="176" spans="2:4">
      <c r="B176" s="2" t="s">
        <v>632</v>
      </c>
      <c r="C176" s="12" t="s">
        <v>633</v>
      </c>
      <c r="D176" s="4">
        <f>SUMIF('Stock In'!$C:$C,B:B,'Stock In'!$G:$G)</f>
        <v>0</v>
      </c>
    </row>
    <row r="177" spans="2:4">
      <c r="B177" s="2" t="s">
        <v>634</v>
      </c>
      <c r="C177" s="12" t="s">
        <v>635</v>
      </c>
      <c r="D177" s="4">
        <f>SUMIF('Stock In'!$C:$C,B:B,'Stock In'!$G:$G)</f>
        <v>0</v>
      </c>
    </row>
    <row r="178" spans="2:4">
      <c r="B178" s="2" t="s">
        <v>636</v>
      </c>
      <c r="C178" s="12" t="s">
        <v>637</v>
      </c>
      <c r="D178" s="4">
        <f>SUMIF('Stock In'!$C:$C,B:B,'Stock In'!$G:$G)</f>
        <v>0</v>
      </c>
    </row>
    <row r="179" spans="2:4">
      <c r="B179" s="2" t="s">
        <v>638</v>
      </c>
      <c r="C179" s="12" t="s">
        <v>639</v>
      </c>
      <c r="D179" s="4">
        <f>SUMIF('Stock In'!$C:$C,B:B,'Stock In'!$G:$G)</f>
        <v>0</v>
      </c>
    </row>
    <row r="180" spans="2:4">
      <c r="B180" s="2" t="s">
        <v>640</v>
      </c>
      <c r="C180" s="12" t="s">
        <v>641</v>
      </c>
      <c r="D180" s="4">
        <f>SUMIF('Stock In'!$C:$C,B:B,'Stock In'!$G:$G)</f>
        <v>0</v>
      </c>
    </row>
    <row r="181" spans="2:4">
      <c r="B181" s="2" t="s">
        <v>642</v>
      </c>
      <c r="C181" s="12" t="s">
        <v>643</v>
      </c>
      <c r="D181" s="4">
        <f>SUMIF('Stock In'!$C:$C,B:B,'Stock In'!$G:$G)</f>
        <v>0</v>
      </c>
    </row>
    <row r="182" spans="2:4">
      <c r="B182" s="2" t="s">
        <v>644</v>
      </c>
      <c r="C182" s="12" t="s">
        <v>645</v>
      </c>
      <c r="D182" s="4">
        <f>SUMIF('Stock In'!$C:$C,B:B,'Stock In'!$G:$G)</f>
        <v>0</v>
      </c>
    </row>
    <row r="183" spans="2:4">
      <c r="B183" s="2" t="s">
        <v>646</v>
      </c>
      <c r="C183" s="12" t="s">
        <v>647</v>
      </c>
      <c r="D183" s="4">
        <f>SUMIF('Stock In'!$C:$C,B:B,'Stock In'!$G:$G)</f>
        <v>0</v>
      </c>
    </row>
    <row r="184" spans="2:4">
      <c r="B184" s="2" t="s">
        <v>648</v>
      </c>
      <c r="C184" s="12" t="s">
        <v>649</v>
      </c>
      <c r="D184" s="4">
        <f>SUMIF('Stock In'!$C:$C,B:B,'Stock In'!$G:$G)</f>
        <v>0</v>
      </c>
    </row>
    <row r="185" spans="2:4">
      <c r="B185" s="2" t="s">
        <v>650</v>
      </c>
      <c r="C185" s="12" t="s">
        <v>651</v>
      </c>
      <c r="D185" s="4">
        <f>SUMIF('Stock In'!$C:$C,B:B,'Stock In'!$G:$G)</f>
        <v>0</v>
      </c>
    </row>
    <row r="186" spans="2:4">
      <c r="B186" s="2" t="s">
        <v>141</v>
      </c>
      <c r="C186" s="12" t="s">
        <v>142</v>
      </c>
      <c r="D186" s="4">
        <f>SUMIF('Stock In'!$C:$C,B:B,'Stock In'!$G:$G)</f>
        <v>0</v>
      </c>
    </row>
    <row r="187" spans="2:4">
      <c r="B187" s="2" t="s">
        <v>23</v>
      </c>
      <c r="C187" s="12" t="s">
        <v>24</v>
      </c>
      <c r="D187" s="4">
        <f>SUMIF('Stock In'!$C:$C,B:B,'Stock In'!$G:$G)</f>
        <v>0</v>
      </c>
    </row>
    <row r="188" spans="2:4">
      <c r="B188" s="2" t="s">
        <v>19</v>
      </c>
      <c r="C188" s="12" t="s">
        <v>20</v>
      </c>
      <c r="D188" s="4">
        <f>SUMIF('Stock In'!$C:$C,B:B,'Stock In'!$G:$G)</f>
        <v>0</v>
      </c>
    </row>
    <row r="189" spans="2:4">
      <c r="B189" s="2" t="s">
        <v>25</v>
      </c>
      <c r="C189" s="12" t="s">
        <v>26</v>
      </c>
      <c r="D189" s="4">
        <f>SUMIF('Stock In'!$C:$C,B:B,'Stock In'!$G:$G)</f>
        <v>0</v>
      </c>
    </row>
    <row r="190" spans="2:4">
      <c r="B190" s="2" t="s">
        <v>27</v>
      </c>
      <c r="C190" s="12" t="s">
        <v>28</v>
      </c>
      <c r="D190" s="4">
        <f>SUMIF('Stock In'!$C:$C,B:B,'Stock In'!$G:$G)</f>
        <v>0</v>
      </c>
    </row>
    <row r="191" spans="2:4">
      <c r="B191" s="2" t="s">
        <v>29</v>
      </c>
      <c r="C191" s="12" t="s">
        <v>30</v>
      </c>
      <c r="D191" s="4">
        <f>SUMIF('Stock In'!$C:$C,B:B,'Stock In'!$G:$G)</f>
        <v>0</v>
      </c>
    </row>
    <row r="192" spans="2:4">
      <c r="B192" s="2" t="s">
        <v>155</v>
      </c>
      <c r="C192" s="12" t="s">
        <v>156</v>
      </c>
      <c r="D192" s="4">
        <f>SUMIF('Stock In'!$C:$C,B:B,'Stock In'!$G:$G)</f>
        <v>0</v>
      </c>
    </row>
    <row r="193" spans="2:4">
      <c r="B193" s="2" t="s">
        <v>652</v>
      </c>
      <c r="C193" s="12" t="s">
        <v>653</v>
      </c>
      <c r="D193" s="4">
        <f>SUMIF('Stock In'!$C:$C,B:B,'Stock In'!$G:$G)</f>
        <v>0</v>
      </c>
    </row>
    <row r="194" spans="2:4">
      <c r="B194" s="2" t="s">
        <v>654</v>
      </c>
      <c r="C194" s="12" t="s">
        <v>655</v>
      </c>
      <c r="D194" s="4">
        <f>SUMIF('Stock In'!$C:$C,B:B,'Stock In'!$G:$G)</f>
        <v>0</v>
      </c>
    </row>
    <row r="195" spans="2:4">
      <c r="B195" s="2" t="s">
        <v>656</v>
      </c>
      <c r="C195" s="12" t="s">
        <v>657</v>
      </c>
      <c r="D195" s="4">
        <f>SUMIF('Stock In'!$C:$C,B:B,'Stock In'!$G:$G)</f>
        <v>0</v>
      </c>
    </row>
    <row r="196" spans="2:4">
      <c r="B196" s="2" t="s">
        <v>658</v>
      </c>
      <c r="C196" s="12" t="s">
        <v>659</v>
      </c>
      <c r="D196" s="4">
        <f>SUMIF('Stock In'!$C:$C,B:B,'Stock In'!$G:$G)</f>
        <v>0</v>
      </c>
    </row>
    <row r="197" spans="2:4">
      <c r="B197" s="2" t="s">
        <v>660</v>
      </c>
      <c r="C197" s="12" t="s">
        <v>661</v>
      </c>
      <c r="D197" s="4">
        <f>SUMIF('Stock In'!$C:$C,B:B,'Stock In'!$G:$G)</f>
        <v>0</v>
      </c>
    </row>
    <row r="198" spans="2:4">
      <c r="B198" s="2" t="s">
        <v>662</v>
      </c>
      <c r="C198" s="12" t="s">
        <v>663</v>
      </c>
      <c r="D198" s="4">
        <f>SUMIF('Stock In'!$C:$C,B:B,'Stock In'!$G:$G)</f>
        <v>0</v>
      </c>
    </row>
    <row r="199" spans="2:4">
      <c r="B199" s="2" t="s">
        <v>664</v>
      </c>
      <c r="C199" s="12" t="s">
        <v>665</v>
      </c>
      <c r="D199" s="4">
        <f>SUMIF('Stock In'!$C:$C,B:B,'Stock In'!$G:$G)</f>
        <v>0</v>
      </c>
    </row>
    <row r="200" spans="2:4">
      <c r="B200" s="2" t="s">
        <v>666</v>
      </c>
      <c r="C200" s="12" t="s">
        <v>667</v>
      </c>
      <c r="D200" s="4">
        <f>SUMIF('Stock In'!$C:$C,B:B,'Stock In'!$G:$G)</f>
        <v>0</v>
      </c>
    </row>
    <row r="201" spans="2:4">
      <c r="B201" s="2" t="s">
        <v>668</v>
      </c>
      <c r="C201" s="12" t="s">
        <v>669</v>
      </c>
      <c r="D201" s="4">
        <f>SUMIF('Stock In'!$C:$C,B:B,'Stock In'!$G:$G)</f>
        <v>0</v>
      </c>
    </row>
    <row r="202" spans="2:4">
      <c r="B202" s="2" t="s">
        <v>670</v>
      </c>
      <c r="C202" s="12" t="s">
        <v>671</v>
      </c>
      <c r="D202" s="4">
        <f>SUMIF('Stock In'!$C:$C,B:B,'Stock In'!$G:$G)</f>
        <v>0</v>
      </c>
    </row>
    <row r="203" spans="2:4">
      <c r="B203" s="2" t="s">
        <v>672</v>
      </c>
      <c r="C203" s="12" t="s">
        <v>673</v>
      </c>
      <c r="D203" s="4">
        <f>SUMIF('Stock In'!$C:$C,B:B,'Stock In'!$G:$G)</f>
        <v>0</v>
      </c>
    </row>
    <row r="204" spans="2:4">
      <c r="B204" s="2" t="s">
        <v>674</v>
      </c>
      <c r="C204" s="12" t="s">
        <v>675</v>
      </c>
      <c r="D204" s="4">
        <f>SUMIF('Stock In'!$C:$C,B:B,'Stock In'!$G:$G)</f>
        <v>0</v>
      </c>
    </row>
    <row r="205" spans="2:4">
      <c r="B205" s="2" t="s">
        <v>676</v>
      </c>
      <c r="C205" s="12" t="s">
        <v>677</v>
      </c>
      <c r="D205" s="4">
        <f>SUMIF('Stock In'!$C:$C,B:B,'Stock In'!$G:$G)</f>
        <v>0</v>
      </c>
    </row>
    <row r="206" spans="2:4">
      <c r="B206" s="2" t="s">
        <v>678</v>
      </c>
      <c r="C206" s="12" t="s">
        <v>679</v>
      </c>
      <c r="D206" s="4">
        <f>SUMIF('Stock In'!$C:$C,B:B,'Stock In'!$G:$G)</f>
        <v>0</v>
      </c>
    </row>
    <row r="207" spans="2:4">
      <c r="B207" s="2" t="s">
        <v>680</v>
      </c>
      <c r="C207" s="12" t="s">
        <v>681</v>
      </c>
      <c r="D207" s="4">
        <f>SUMIF('Stock In'!$C:$C,B:B,'Stock In'!$G:$G)</f>
        <v>0</v>
      </c>
    </row>
    <row r="208" spans="2:4">
      <c r="B208" s="2" t="s">
        <v>682</v>
      </c>
      <c r="C208" s="12" t="s">
        <v>683</v>
      </c>
      <c r="D208" s="4">
        <f>SUMIF('Stock In'!$C:$C,B:B,'Stock In'!$G:$G)</f>
        <v>0</v>
      </c>
    </row>
    <row r="209" spans="2:4">
      <c r="B209" s="2" t="s">
        <v>684</v>
      </c>
      <c r="C209" s="12" t="s">
        <v>685</v>
      </c>
      <c r="D209" s="4">
        <f>SUMIF('Stock In'!$C:$C,B:B,'Stock In'!$G:$G)</f>
        <v>0</v>
      </c>
    </row>
    <row r="210" spans="2:4">
      <c r="B210" s="2" t="s">
        <v>686</v>
      </c>
      <c r="C210" s="12" t="s">
        <v>687</v>
      </c>
      <c r="D210" s="4">
        <f>SUMIF('Stock In'!$C:$C,B:B,'Stock In'!$G:$G)</f>
        <v>0</v>
      </c>
    </row>
    <row r="211" spans="2:4">
      <c r="B211" s="2" t="s">
        <v>688</v>
      </c>
      <c r="C211" s="12" t="s">
        <v>689</v>
      </c>
      <c r="D211" s="4">
        <f>SUMIF('Stock In'!$C:$C,B:B,'Stock In'!$G:$G)</f>
        <v>0</v>
      </c>
    </row>
    <row r="212" spans="2:4">
      <c r="B212" s="2" t="s">
        <v>690</v>
      </c>
      <c r="C212" s="12" t="s">
        <v>691</v>
      </c>
      <c r="D212" s="4">
        <f>SUMIF('Stock In'!$C:$C,B:B,'Stock In'!$G:$G)</f>
        <v>0</v>
      </c>
    </row>
    <row r="213" spans="2:4">
      <c r="B213" s="2" t="s">
        <v>692</v>
      </c>
      <c r="C213" s="12" t="s">
        <v>693</v>
      </c>
      <c r="D213" s="4">
        <f>SUMIF('Stock In'!$C:$C,B:B,'Stock In'!$G:$G)</f>
        <v>0</v>
      </c>
    </row>
    <row r="214" spans="2:4">
      <c r="B214" s="2" t="s">
        <v>694</v>
      </c>
      <c r="C214" s="12" t="s">
        <v>695</v>
      </c>
      <c r="D214" s="4">
        <f>SUMIF('Stock In'!$C:$C,B:B,'Stock In'!$G:$G)</f>
        <v>0</v>
      </c>
    </row>
    <row r="215" spans="2:4">
      <c r="B215" s="2" t="s">
        <v>696</v>
      </c>
      <c r="C215" s="12" t="s">
        <v>697</v>
      </c>
      <c r="D215" s="4">
        <f>SUMIF('Stock In'!$C:$C,B:B,'Stock In'!$G:$G)</f>
        <v>0</v>
      </c>
    </row>
    <row r="216" spans="2:4">
      <c r="B216" s="2" t="s">
        <v>698</v>
      </c>
      <c r="C216" s="12" t="s">
        <v>699</v>
      </c>
      <c r="D216" s="4">
        <f>SUMIF('Stock In'!$C:$C,B:B,'Stock In'!$G:$G)</f>
        <v>0</v>
      </c>
    </row>
    <row r="217" spans="2:4">
      <c r="B217" s="2" t="s">
        <v>700</v>
      </c>
      <c r="C217" s="12" t="s">
        <v>701</v>
      </c>
      <c r="D217" s="4">
        <f>SUMIF('Stock In'!$C:$C,B:B,'Stock In'!$G:$G)</f>
        <v>0</v>
      </c>
    </row>
    <row r="218" spans="2:4">
      <c r="B218" s="2" t="s">
        <v>702</v>
      </c>
      <c r="C218" s="12" t="s">
        <v>703</v>
      </c>
      <c r="D218" s="4">
        <f>SUMIF('Stock In'!$C:$C,B:B,'Stock In'!$G:$G)</f>
        <v>0</v>
      </c>
    </row>
    <row r="219" spans="2:4">
      <c r="B219" s="2" t="s">
        <v>704</v>
      </c>
      <c r="C219" s="12" t="s">
        <v>705</v>
      </c>
      <c r="D219" s="4">
        <f>SUMIF('Stock In'!$C:$C,B:B,'Stock In'!$G:$G)</f>
        <v>0</v>
      </c>
    </row>
    <row r="220" spans="2:4">
      <c r="B220" s="2" t="s">
        <v>706</v>
      </c>
      <c r="C220" s="12" t="s">
        <v>707</v>
      </c>
      <c r="D220" s="4">
        <f>SUMIF('Stock In'!$C:$C,B:B,'Stock In'!$G:$G)</f>
        <v>0</v>
      </c>
    </row>
    <row r="221" spans="2:4">
      <c r="B221" s="2" t="s">
        <v>708</v>
      </c>
      <c r="C221" s="12" t="s">
        <v>709</v>
      </c>
      <c r="D221" s="4">
        <f>SUMIF('Stock In'!$C:$C,B:B,'Stock In'!$G:$G)</f>
        <v>0</v>
      </c>
    </row>
    <row r="222" spans="2:4">
      <c r="B222" s="2" t="s">
        <v>710</v>
      </c>
      <c r="C222" s="12" t="s">
        <v>711</v>
      </c>
      <c r="D222" s="4">
        <f>SUMIF('Stock In'!$C:$C,B:B,'Stock In'!$G:$G)</f>
        <v>0</v>
      </c>
    </row>
    <row r="223" spans="2:4">
      <c r="B223" s="2" t="s">
        <v>712</v>
      </c>
      <c r="C223" s="12" t="s">
        <v>713</v>
      </c>
      <c r="D223" s="4">
        <f>SUMIF('Stock In'!$C:$C,B:B,'Stock In'!$G:$G)</f>
        <v>0</v>
      </c>
    </row>
    <row r="224" spans="2:4">
      <c r="B224" s="2" t="s">
        <v>714</v>
      </c>
      <c r="C224" s="12" t="s">
        <v>715</v>
      </c>
      <c r="D224" s="4">
        <f>SUMIF('Stock In'!$C:$C,B:B,'Stock In'!$G:$G)</f>
        <v>0</v>
      </c>
    </row>
    <row r="225" spans="2:4">
      <c r="B225" s="2" t="s">
        <v>716</v>
      </c>
      <c r="C225" s="12" t="s">
        <v>717</v>
      </c>
      <c r="D225" s="4">
        <f>SUMIF('Stock In'!$C:$C,B:B,'Stock In'!$G:$G)</f>
        <v>0</v>
      </c>
    </row>
    <row r="226" spans="2:4">
      <c r="B226" s="2" t="s">
        <v>718</v>
      </c>
      <c r="C226" s="12" t="s">
        <v>719</v>
      </c>
      <c r="D226" s="4">
        <f>SUMIF('Stock In'!$C:$C,B:B,'Stock In'!$G:$G)</f>
        <v>0</v>
      </c>
    </row>
    <row r="227" spans="2:4">
      <c r="B227" s="2" t="s">
        <v>720</v>
      </c>
      <c r="C227" s="12" t="s">
        <v>721</v>
      </c>
      <c r="D227" s="4">
        <f>SUMIF('Stock In'!$C:$C,B:B,'Stock In'!$G:$G)</f>
        <v>0</v>
      </c>
    </row>
    <row r="228" spans="2:4">
      <c r="B228" s="2" t="s">
        <v>722</v>
      </c>
      <c r="C228" s="12" t="s">
        <v>723</v>
      </c>
      <c r="D228" s="4">
        <f>SUMIF('Stock In'!$C:$C,B:B,'Stock In'!$G:$G)</f>
        <v>0</v>
      </c>
    </row>
    <row r="229" spans="2:4">
      <c r="B229" s="2" t="s">
        <v>724</v>
      </c>
      <c r="C229" s="12" t="s">
        <v>725</v>
      </c>
      <c r="D229" s="4">
        <f>SUMIF('Stock In'!$C:$C,B:B,'Stock In'!$G:$G)</f>
        <v>0</v>
      </c>
    </row>
    <row r="230" spans="2:4">
      <c r="B230" s="2" t="s">
        <v>726</v>
      </c>
      <c r="C230" s="12" t="s">
        <v>727</v>
      </c>
      <c r="D230" s="4">
        <f>SUMIF('Stock In'!$C:$C,B:B,'Stock In'!$G:$G)</f>
        <v>0</v>
      </c>
    </row>
    <row r="231" spans="2:4">
      <c r="B231" s="2" t="s">
        <v>728</v>
      </c>
      <c r="C231" s="12" t="s">
        <v>729</v>
      </c>
      <c r="D231" s="4">
        <f>SUMIF('Stock In'!$C:$C,B:B,'Stock In'!$G:$G)</f>
        <v>0</v>
      </c>
    </row>
    <row r="232" spans="2:4">
      <c r="B232" s="2" t="s">
        <v>730</v>
      </c>
      <c r="C232" s="12" t="s">
        <v>731</v>
      </c>
      <c r="D232" s="4">
        <f>SUMIF('Stock In'!$C:$C,B:B,'Stock In'!$G:$G)</f>
        <v>0</v>
      </c>
    </row>
    <row r="233" spans="2:4">
      <c r="B233" s="2" t="s">
        <v>732</v>
      </c>
      <c r="C233" s="12" t="s">
        <v>733</v>
      </c>
      <c r="D233" s="4">
        <f>SUMIF('Stock In'!$C:$C,B:B,'Stock In'!$G:$G)</f>
        <v>0</v>
      </c>
    </row>
    <row r="234" spans="2:4">
      <c r="B234" s="2" t="s">
        <v>734</v>
      </c>
      <c r="C234" s="12" t="s">
        <v>735</v>
      </c>
      <c r="D234" s="4">
        <f>SUMIF('Stock In'!$C:$C,B:B,'Stock In'!$G:$G)</f>
        <v>0</v>
      </c>
    </row>
    <row r="235" spans="2:4">
      <c r="B235" s="2" t="s">
        <v>736</v>
      </c>
      <c r="C235" s="12" t="s">
        <v>737</v>
      </c>
      <c r="D235" s="4">
        <f>SUMIF('Stock In'!$C:$C,B:B,'Stock In'!$G:$G)</f>
        <v>0</v>
      </c>
    </row>
    <row r="236" spans="2:4">
      <c r="B236" s="2" t="s">
        <v>738</v>
      </c>
      <c r="C236" s="12" t="s">
        <v>739</v>
      </c>
      <c r="D236" s="4">
        <f>SUMIF('Stock In'!$C:$C,B:B,'Stock In'!$G:$G)</f>
        <v>0</v>
      </c>
    </row>
    <row r="237" spans="2:4">
      <c r="B237" s="2" t="s">
        <v>740</v>
      </c>
      <c r="C237" s="12" t="s">
        <v>741</v>
      </c>
      <c r="D237" s="4">
        <f>SUMIF('Stock In'!$C:$C,B:B,'Stock In'!$G:$G)</f>
        <v>0</v>
      </c>
    </row>
    <row r="238" spans="2:4">
      <c r="B238" s="2" t="s">
        <v>742</v>
      </c>
      <c r="C238" s="12" t="s">
        <v>743</v>
      </c>
      <c r="D238" s="4">
        <f>SUMIF('Stock In'!$C:$C,B:B,'Stock In'!$G:$G)</f>
        <v>0</v>
      </c>
    </row>
    <row r="239" spans="2:4">
      <c r="B239" s="2" t="s">
        <v>744</v>
      </c>
      <c r="C239" s="12" t="s">
        <v>745</v>
      </c>
      <c r="D239" s="4">
        <f>SUMIF('Stock In'!$C:$C,B:B,'Stock In'!$G:$G)</f>
        <v>0</v>
      </c>
    </row>
    <row r="240" spans="2:4">
      <c r="B240" s="2" t="s">
        <v>746</v>
      </c>
      <c r="C240" s="12" t="s">
        <v>747</v>
      </c>
      <c r="D240" s="4">
        <f>SUMIF('Stock In'!$C:$C,B:B,'Stock In'!$G:$G)</f>
        <v>0</v>
      </c>
    </row>
    <row r="241" spans="2:4">
      <c r="B241" s="2" t="s">
        <v>748</v>
      </c>
      <c r="C241" s="12" t="s">
        <v>749</v>
      </c>
      <c r="D241" s="4">
        <f>SUMIF('Stock In'!$C:$C,B:B,'Stock In'!$G:$G)</f>
        <v>0</v>
      </c>
    </row>
    <row r="242" spans="2:4">
      <c r="B242" s="2" t="s">
        <v>750</v>
      </c>
      <c r="C242" s="12" t="s">
        <v>751</v>
      </c>
      <c r="D242" s="4">
        <f>SUMIF('Stock In'!$C:$C,B:B,'Stock In'!$G:$G)</f>
        <v>0</v>
      </c>
    </row>
    <row r="243" spans="2:4">
      <c r="B243" s="2" t="s">
        <v>752</v>
      </c>
      <c r="C243" s="12" t="s">
        <v>753</v>
      </c>
      <c r="D243" s="4">
        <f>SUMIF('Stock In'!$C:$C,B:B,'Stock In'!$G:$G)</f>
        <v>0</v>
      </c>
    </row>
    <row r="244" spans="2:4">
      <c r="B244" s="2" t="s">
        <v>754</v>
      </c>
      <c r="C244" s="12" t="s">
        <v>755</v>
      </c>
      <c r="D244" s="4">
        <f>SUMIF('Stock In'!$C:$C,B:B,'Stock In'!$G:$G)</f>
        <v>0</v>
      </c>
    </row>
    <row r="245" spans="2:4">
      <c r="B245" s="2" t="s">
        <v>756</v>
      </c>
      <c r="C245" s="12" t="s">
        <v>757</v>
      </c>
      <c r="D245" s="4">
        <f>SUMIF('Stock In'!$C:$C,B:B,'Stock In'!$G:$G)</f>
        <v>0</v>
      </c>
    </row>
    <row r="246" spans="2:4">
      <c r="B246" s="2" t="s">
        <v>758</v>
      </c>
      <c r="C246" s="12" t="s">
        <v>759</v>
      </c>
      <c r="D246" s="4">
        <f>SUMIF('Stock In'!$C:$C,B:B,'Stock In'!$G:$G)</f>
        <v>0</v>
      </c>
    </row>
    <row r="247" spans="2:4">
      <c r="B247" s="2" t="s">
        <v>760</v>
      </c>
      <c r="C247" t="s">
        <v>761</v>
      </c>
      <c r="D247" s="4">
        <f>SUMIF('Stock In'!$C:$C,B:B,'Stock In'!$G:$G)</f>
        <v>0</v>
      </c>
    </row>
    <row r="248" spans="2:4">
      <c r="B248" s="2" t="s">
        <v>762</v>
      </c>
      <c r="C248" t="s">
        <v>763</v>
      </c>
      <c r="D248" s="4">
        <f>SUMIF('Stock In'!$C:$C,B:B,'Stock In'!$G:$G)</f>
        <v>0</v>
      </c>
    </row>
    <row r="249" spans="2:4">
      <c r="B249" s="2" t="s">
        <v>764</v>
      </c>
      <c r="C249" t="s">
        <v>765</v>
      </c>
      <c r="D249" s="4">
        <f>SUMIF('Stock In'!$C:$C,B:B,'Stock In'!$G:$G)</f>
        <v>0</v>
      </c>
    </row>
    <row r="250" spans="2:4">
      <c r="B250" s="2" t="s">
        <v>766</v>
      </c>
      <c r="C250" t="s">
        <v>767</v>
      </c>
      <c r="D250" s="4">
        <f>SUMIF('Stock In'!$C:$C,B:B,'Stock In'!$G:$G)</f>
        <v>0</v>
      </c>
    </row>
    <row r="251" spans="2:4">
      <c r="B251" s="2" t="s">
        <v>768</v>
      </c>
      <c r="C251" t="s">
        <v>769</v>
      </c>
      <c r="D251" s="4">
        <f>SUMIF('Stock In'!$C:$C,B:B,'Stock In'!$G:$G)</f>
        <v>0</v>
      </c>
    </row>
    <row r="252" spans="2:4">
      <c r="B252" s="2" t="s">
        <v>770</v>
      </c>
      <c r="C252" t="s">
        <v>771</v>
      </c>
      <c r="D252" s="4">
        <f>SUMIF('Stock In'!$C:$C,B:B,'Stock In'!$G:$G)</f>
        <v>0</v>
      </c>
    </row>
    <row r="253" spans="2:4">
      <c r="B253" s="2" t="s">
        <v>772</v>
      </c>
      <c r="C253" t="s">
        <v>773</v>
      </c>
      <c r="D253" s="4">
        <f>SUMIF('Stock In'!$C:$C,B:B,'Stock In'!$G:$G)</f>
        <v>0</v>
      </c>
    </row>
    <row r="254" spans="2:4">
      <c r="B254" s="2" t="s">
        <v>774</v>
      </c>
      <c r="C254" t="s">
        <v>775</v>
      </c>
      <c r="D254" s="4">
        <f>SUMIF('Stock In'!$C:$C,B:B,'Stock In'!$G:$G)</f>
        <v>0</v>
      </c>
    </row>
    <row r="255" spans="2:4">
      <c r="B255" s="2" t="s">
        <v>776</v>
      </c>
      <c r="C255" t="s">
        <v>777</v>
      </c>
      <c r="D255" s="4">
        <f>SUMIF('Stock In'!$C:$C,B:B,'Stock In'!$G:$G)</f>
        <v>0</v>
      </c>
    </row>
    <row r="256" spans="2:4">
      <c r="B256" s="2" t="s">
        <v>778</v>
      </c>
      <c r="C256" t="s">
        <v>779</v>
      </c>
      <c r="D256" s="4">
        <f>SUMIF('Stock In'!$C:$C,B:B,'Stock In'!$G:$G)</f>
        <v>0</v>
      </c>
    </row>
    <row r="257" spans="2:4">
      <c r="B257" s="2" t="s">
        <v>780</v>
      </c>
      <c r="C257" t="s">
        <v>781</v>
      </c>
      <c r="D257" s="4">
        <f>SUMIF('Stock In'!$C:$C,B:B,'Stock In'!$G:$G)</f>
        <v>0</v>
      </c>
    </row>
    <row r="258" spans="2:4">
      <c r="B258" s="2" t="s">
        <v>782</v>
      </c>
      <c r="C258" t="s">
        <v>783</v>
      </c>
      <c r="D258" s="4">
        <f>SUMIF('Stock In'!$C:$C,B:B,'Stock In'!$G:$G)</f>
        <v>0</v>
      </c>
    </row>
    <row r="259" spans="2:4">
      <c r="B259" s="2" t="s">
        <v>784</v>
      </c>
      <c r="C259" t="s">
        <v>785</v>
      </c>
      <c r="D259" s="4">
        <f>SUMIF('Stock In'!$C:$C,B:B,'Stock In'!$G:$G)</f>
        <v>0</v>
      </c>
    </row>
    <row r="260" spans="2:4">
      <c r="B260" s="2" t="s">
        <v>786</v>
      </c>
      <c r="C260" t="s">
        <v>787</v>
      </c>
      <c r="D260" s="4">
        <f>SUMIF('Stock In'!$C:$C,B:B,'Stock In'!$G:$G)</f>
        <v>0</v>
      </c>
    </row>
    <row r="261" spans="2:4">
      <c r="B261" s="2" t="s">
        <v>788</v>
      </c>
      <c r="C261" t="s">
        <v>789</v>
      </c>
      <c r="D261" s="4">
        <f>SUMIF('Stock In'!$C:$C,B:B,'Stock In'!$G:$G)</f>
        <v>0</v>
      </c>
    </row>
    <row r="262" spans="2:4">
      <c r="B262" s="2" t="s">
        <v>790</v>
      </c>
      <c r="C262" t="s">
        <v>791</v>
      </c>
      <c r="D262" s="4">
        <f>SUMIF('Stock In'!$C:$C,B:B,'Stock In'!$G:$G)</f>
        <v>0</v>
      </c>
    </row>
    <row r="263" spans="2:4">
      <c r="B263" s="2" t="s">
        <v>792</v>
      </c>
      <c r="C263" t="s">
        <v>793</v>
      </c>
      <c r="D263" s="4">
        <f>SUMIF('Stock In'!$C:$C,B:B,'Stock In'!$G:$G)</f>
        <v>0</v>
      </c>
    </row>
    <row r="264" spans="2:4">
      <c r="B264" s="2" t="s">
        <v>794</v>
      </c>
      <c r="C264" t="s">
        <v>795</v>
      </c>
      <c r="D264" s="4">
        <f>SUMIF('Stock In'!$C:$C,B:B,'Stock In'!$G:$G)</f>
        <v>0</v>
      </c>
    </row>
    <row r="265" spans="2:4">
      <c r="B265" s="2" t="s">
        <v>796</v>
      </c>
      <c r="C265" t="s">
        <v>797</v>
      </c>
      <c r="D265" s="4">
        <f>SUMIF('Stock In'!$C:$C,B:B,'Stock In'!$G:$G)</f>
        <v>0</v>
      </c>
    </row>
    <row r="266" spans="2:4">
      <c r="B266" s="2" t="s">
        <v>798</v>
      </c>
      <c r="C266" t="s">
        <v>799</v>
      </c>
      <c r="D266" s="4">
        <f>SUMIF('Stock In'!$C:$C,B:B,'Stock In'!$G:$G)</f>
        <v>0</v>
      </c>
    </row>
    <row r="267" spans="2:4">
      <c r="B267" s="2" t="s">
        <v>800</v>
      </c>
      <c r="C267" t="s">
        <v>801</v>
      </c>
      <c r="D267" s="4">
        <f>SUMIF('Stock In'!$C:$C,B:B,'Stock In'!$G:$G)</f>
        <v>0</v>
      </c>
    </row>
    <row r="268" spans="2:4">
      <c r="B268" s="2" t="s">
        <v>802</v>
      </c>
      <c r="C268" t="s">
        <v>803</v>
      </c>
      <c r="D268" s="4">
        <f>SUMIF('Stock In'!$C:$C,B:B,'Stock In'!$G:$G)</f>
        <v>0</v>
      </c>
    </row>
    <row r="269" spans="2:4">
      <c r="B269" s="2" t="s">
        <v>804</v>
      </c>
      <c r="C269" t="s">
        <v>805</v>
      </c>
      <c r="D269" s="4">
        <f>SUMIF('Stock In'!$C:$C,B:B,'Stock In'!$G:$G)</f>
        <v>0</v>
      </c>
    </row>
    <row r="270" spans="2:4">
      <c r="B270" s="2" t="s">
        <v>806</v>
      </c>
      <c r="C270" t="s">
        <v>807</v>
      </c>
      <c r="D270" s="4">
        <f>SUMIF('Stock In'!$C:$C,B:B,'Stock In'!$G:$G)</f>
        <v>0</v>
      </c>
    </row>
    <row r="271" spans="2:4">
      <c r="B271" s="2" t="s">
        <v>808</v>
      </c>
      <c r="C271" t="s">
        <v>809</v>
      </c>
      <c r="D271" s="4">
        <f>SUMIF('Stock In'!$C:$C,B:B,'Stock In'!$G:$G)</f>
        <v>0</v>
      </c>
    </row>
    <row r="272" spans="2:4">
      <c r="B272" s="2" t="s">
        <v>810</v>
      </c>
      <c r="C272" t="s">
        <v>811</v>
      </c>
      <c r="D272" s="4">
        <f>SUMIF('Stock In'!$C:$C,B:B,'Stock In'!$G:$G)</f>
        <v>0</v>
      </c>
    </row>
    <row r="273" spans="2:4">
      <c r="B273" s="2" t="s">
        <v>812</v>
      </c>
      <c r="C273" t="s">
        <v>813</v>
      </c>
      <c r="D273" s="4">
        <f>SUMIF('Stock In'!$C:$C,B:B,'Stock In'!$G:$G)</f>
        <v>0</v>
      </c>
    </row>
    <row r="274" spans="2:4">
      <c r="B274" s="2" t="s">
        <v>814</v>
      </c>
      <c r="C274" t="s">
        <v>815</v>
      </c>
      <c r="D274" s="4">
        <f>SUMIF('Stock In'!$C:$C,B:B,'Stock In'!$G:$G)</f>
        <v>0</v>
      </c>
    </row>
    <row r="275" spans="2:4">
      <c r="B275" s="2" t="s">
        <v>816</v>
      </c>
      <c r="C275" t="s">
        <v>817</v>
      </c>
      <c r="D275" s="4">
        <f>SUMIF('Stock In'!$C:$C,B:B,'Stock In'!$G:$G)</f>
        <v>0</v>
      </c>
    </row>
    <row r="276" spans="2:4">
      <c r="B276" s="2" t="s">
        <v>818</v>
      </c>
      <c r="C276" t="s">
        <v>819</v>
      </c>
      <c r="D276" s="4">
        <f>SUMIF('Stock In'!$C:$C,B:B,'Stock In'!$G:$G)</f>
        <v>0</v>
      </c>
    </row>
    <row r="277" spans="2:4">
      <c r="B277" s="2" t="s">
        <v>820</v>
      </c>
      <c r="C277" t="s">
        <v>821</v>
      </c>
      <c r="D277" s="4">
        <f>SUMIF('Stock In'!$C:$C,B:B,'Stock In'!$G:$G)</f>
        <v>0</v>
      </c>
    </row>
    <row r="278" spans="2:4">
      <c r="B278" s="2" t="s">
        <v>822</v>
      </c>
      <c r="C278" t="s">
        <v>823</v>
      </c>
      <c r="D278" s="4">
        <f>SUMIF('Stock In'!$C:$C,B:B,'Stock In'!$G:$G)</f>
        <v>0</v>
      </c>
    </row>
    <row r="279" spans="2:4">
      <c r="B279" s="2" t="s">
        <v>824</v>
      </c>
      <c r="C279" t="s">
        <v>825</v>
      </c>
      <c r="D279" s="4">
        <f>SUMIF('Stock In'!$C:$C,B:B,'Stock In'!$G:$G)</f>
        <v>0</v>
      </c>
    </row>
    <row r="280" spans="2:4">
      <c r="B280" s="2" t="s">
        <v>826</v>
      </c>
      <c r="C280" t="s">
        <v>827</v>
      </c>
      <c r="D280" s="4">
        <f>SUMIF('Stock In'!$C:$C,B:B,'Stock In'!$G:$G)</f>
        <v>0</v>
      </c>
    </row>
    <row r="281" spans="2:4">
      <c r="B281" s="2" t="s">
        <v>828</v>
      </c>
      <c r="C281" t="s">
        <v>829</v>
      </c>
      <c r="D281" s="4">
        <f>SUMIF('Stock In'!$C:$C,B:B,'Stock In'!$G:$G)</f>
        <v>0</v>
      </c>
    </row>
    <row r="282" spans="2:4">
      <c r="B282" s="2" t="s">
        <v>830</v>
      </c>
      <c r="C282" t="s">
        <v>831</v>
      </c>
      <c r="D282" s="4">
        <f>SUMIF('Stock In'!$C:$C,B:B,'Stock In'!$G:$G)</f>
        <v>0</v>
      </c>
    </row>
    <row r="283" spans="2:4">
      <c r="B283" s="2" t="s">
        <v>832</v>
      </c>
      <c r="C283" t="s">
        <v>833</v>
      </c>
      <c r="D283" s="4">
        <f>SUMIF('Stock In'!$C:$C,B:B,'Stock In'!$G:$G)</f>
        <v>0</v>
      </c>
    </row>
    <row r="284" spans="2:4">
      <c r="B284" s="2" t="s">
        <v>834</v>
      </c>
      <c r="C284" t="s">
        <v>835</v>
      </c>
      <c r="D284" s="4">
        <f>SUMIF('Stock In'!$C:$C,B:B,'Stock In'!$G:$G)</f>
        <v>0</v>
      </c>
    </row>
    <row r="285" spans="2:4">
      <c r="B285" s="2" t="s">
        <v>836</v>
      </c>
      <c r="C285" t="s">
        <v>837</v>
      </c>
      <c r="D285" s="4">
        <f>SUMIF('Stock In'!$C:$C,B:B,'Stock In'!$G:$G)</f>
        <v>0</v>
      </c>
    </row>
    <row r="286" spans="2:4">
      <c r="B286" s="2" t="s">
        <v>838</v>
      </c>
      <c r="C286" t="s">
        <v>839</v>
      </c>
      <c r="D286" s="4">
        <f>SUMIF('Stock In'!$C:$C,B:B,'Stock In'!$G:$G)</f>
        <v>0</v>
      </c>
    </row>
    <row r="287" spans="2:4">
      <c r="B287" s="2" t="s">
        <v>840</v>
      </c>
      <c r="C287" t="s">
        <v>841</v>
      </c>
      <c r="D287" s="4">
        <f>SUMIF('Stock In'!$C:$C,B:B,'Stock In'!$G:$G)</f>
        <v>0</v>
      </c>
    </row>
    <row r="288" spans="2:4">
      <c r="B288" s="2" t="s">
        <v>842</v>
      </c>
      <c r="C288" t="s">
        <v>843</v>
      </c>
      <c r="D288" s="4">
        <f>SUMIF('Stock In'!$C:$C,B:B,'Stock In'!$G:$G)</f>
        <v>0</v>
      </c>
    </row>
    <row r="289" spans="2:4">
      <c r="B289" s="2" t="s">
        <v>844</v>
      </c>
      <c r="C289" t="s">
        <v>845</v>
      </c>
      <c r="D289" s="4">
        <f>SUMIF('Stock In'!$C:$C,B:B,'Stock In'!$G:$G)</f>
        <v>0</v>
      </c>
    </row>
    <row r="290" spans="2:4">
      <c r="B290" s="2" t="s">
        <v>846</v>
      </c>
      <c r="C290" t="s">
        <v>847</v>
      </c>
      <c r="D290" s="4">
        <f>SUMIF('Stock In'!$C:$C,B:B,'Stock In'!$G:$G)</f>
        <v>0</v>
      </c>
    </row>
    <row r="291" spans="2:4">
      <c r="B291" s="2" t="s">
        <v>848</v>
      </c>
      <c r="C291" t="s">
        <v>849</v>
      </c>
      <c r="D291" s="4">
        <f>SUMIF('Stock In'!$C:$C,B:B,'Stock In'!$G:$G)</f>
        <v>0</v>
      </c>
    </row>
    <row r="292" spans="2:4">
      <c r="B292" s="2" t="s">
        <v>850</v>
      </c>
      <c r="C292" t="s">
        <v>851</v>
      </c>
      <c r="D292" s="4">
        <f>SUMIF('Stock In'!$C:$C,B:B,'Stock In'!$G:$G)</f>
        <v>0</v>
      </c>
    </row>
    <row r="293" spans="2:4">
      <c r="B293" s="2" t="s">
        <v>852</v>
      </c>
      <c r="C293" t="s">
        <v>853</v>
      </c>
      <c r="D293" s="4">
        <f>SUMIF('Stock In'!$C:$C,B:B,'Stock In'!$G:$G)</f>
        <v>0</v>
      </c>
    </row>
    <row r="294" spans="2:4">
      <c r="B294" s="2" t="s">
        <v>854</v>
      </c>
      <c r="C294" t="s">
        <v>855</v>
      </c>
      <c r="D294" s="4">
        <f>SUMIF('Stock In'!$C:$C,B:B,'Stock In'!$G:$G)</f>
        <v>0</v>
      </c>
    </row>
    <row r="295" spans="2:4">
      <c r="B295" s="2" t="s">
        <v>856</v>
      </c>
      <c r="C295" t="s">
        <v>857</v>
      </c>
      <c r="D295" s="4">
        <f>SUMIF('Stock In'!$C:$C,B:B,'Stock In'!$G:$G)</f>
        <v>0</v>
      </c>
    </row>
    <row r="296" spans="2:4">
      <c r="B296" s="2" t="s">
        <v>858</v>
      </c>
      <c r="C296" t="s">
        <v>859</v>
      </c>
      <c r="D296" s="4">
        <f>SUMIF('Stock In'!$C:$C,B:B,'Stock In'!$G:$G)</f>
        <v>0</v>
      </c>
    </row>
    <row r="297" spans="2:4">
      <c r="B297" s="2" t="s">
        <v>860</v>
      </c>
      <c r="C297" t="s">
        <v>861</v>
      </c>
      <c r="D297" s="4">
        <f>SUMIF('Stock In'!$C:$C,B:B,'Stock In'!$G:$G)</f>
        <v>0</v>
      </c>
    </row>
    <row r="298" spans="2:4">
      <c r="B298" s="2" t="s">
        <v>862</v>
      </c>
      <c r="C298" t="s">
        <v>863</v>
      </c>
      <c r="D298" s="4">
        <f>SUMIF('Stock In'!$C:$C,B:B,'Stock In'!$G:$G)</f>
        <v>0</v>
      </c>
    </row>
    <row r="299" spans="2:4">
      <c r="B299" s="2" t="s">
        <v>864</v>
      </c>
      <c r="C299" t="s">
        <v>865</v>
      </c>
      <c r="D299" s="4">
        <f>SUMIF('Stock In'!$C:$C,B:B,'Stock In'!$G:$G)</f>
        <v>0</v>
      </c>
    </row>
    <row r="300" spans="2:4">
      <c r="B300" s="2" t="s">
        <v>866</v>
      </c>
      <c r="C300" t="s">
        <v>867</v>
      </c>
      <c r="D300" s="4">
        <f>SUMIF('Stock In'!$C:$C,B:B,'Stock In'!$G:$G)</f>
        <v>0</v>
      </c>
    </row>
    <row r="301" spans="2:4">
      <c r="B301" s="2" t="s">
        <v>868</v>
      </c>
      <c r="C301" t="s">
        <v>869</v>
      </c>
      <c r="D301" s="4">
        <f>SUMIF('Stock In'!$C:$C,B:B,'Stock In'!$G:$G)</f>
        <v>0</v>
      </c>
    </row>
    <row r="302" spans="2:4">
      <c r="B302" s="2" t="s">
        <v>870</v>
      </c>
      <c r="C302" t="s">
        <v>871</v>
      </c>
      <c r="D302" s="4">
        <f>SUMIF('Stock In'!$C:$C,B:B,'Stock In'!$G:$G)</f>
        <v>0</v>
      </c>
    </row>
    <row r="303" spans="2:4">
      <c r="B303" s="2" t="s">
        <v>872</v>
      </c>
      <c r="C303" t="s">
        <v>873</v>
      </c>
      <c r="D303" s="4">
        <f>SUMIF('Stock In'!$C:$C,B:B,'Stock In'!$G:$G)</f>
        <v>0</v>
      </c>
    </row>
    <row r="304" spans="2:4">
      <c r="B304" s="2" t="s">
        <v>874</v>
      </c>
      <c r="C304" t="s">
        <v>875</v>
      </c>
      <c r="D304" s="4">
        <f>SUMIF('Stock In'!$C:$C,B:B,'Stock In'!$G:$G)</f>
        <v>0</v>
      </c>
    </row>
    <row r="305" spans="2:4">
      <c r="B305" s="2" t="s">
        <v>876</v>
      </c>
      <c r="C305" t="s">
        <v>877</v>
      </c>
      <c r="D305" s="4">
        <f>SUMIF('Stock In'!$C:$C,B:B,'Stock In'!$G:$G)</f>
        <v>0</v>
      </c>
    </row>
    <row r="306" spans="2:4">
      <c r="B306" s="2" t="s">
        <v>878</v>
      </c>
      <c r="C306" t="s">
        <v>879</v>
      </c>
      <c r="D306" s="4">
        <f>SUMIF('Stock In'!$C:$C,B:B,'Stock In'!$G:$G)</f>
        <v>0</v>
      </c>
    </row>
    <row r="307" spans="2:4">
      <c r="B307" s="2" t="s">
        <v>880</v>
      </c>
      <c r="C307" t="s">
        <v>881</v>
      </c>
      <c r="D307" s="4">
        <f>SUMIF('Stock In'!$C:$C,B:B,'Stock In'!$G:$G)</f>
        <v>0</v>
      </c>
    </row>
    <row r="308" spans="2:4">
      <c r="B308" s="2" t="s">
        <v>882</v>
      </c>
      <c r="C308" t="s">
        <v>883</v>
      </c>
      <c r="D308" s="4">
        <f>SUMIF('Stock In'!$C:$C,B:B,'Stock In'!$G:$G)</f>
        <v>0</v>
      </c>
    </row>
    <row r="309" spans="2:4">
      <c r="B309" s="2" t="s">
        <v>884</v>
      </c>
      <c r="C309" t="s">
        <v>885</v>
      </c>
      <c r="D309" s="4">
        <f>SUMIF('Stock In'!$C:$C,B:B,'Stock In'!$G:$G)</f>
        <v>0</v>
      </c>
    </row>
    <row r="310" spans="2:4">
      <c r="B310" s="2" t="s">
        <v>886</v>
      </c>
      <c r="C310" t="s">
        <v>887</v>
      </c>
      <c r="D310" s="4">
        <f>SUMIF('Stock In'!$C:$C,B:B,'Stock In'!$G:$G)</f>
        <v>0</v>
      </c>
    </row>
    <row r="311" spans="2:4">
      <c r="B311" s="2" t="s">
        <v>888</v>
      </c>
      <c r="C311" t="s">
        <v>889</v>
      </c>
      <c r="D311" s="4">
        <f>SUMIF('Stock In'!$C:$C,B:B,'Stock In'!$G:$G)</f>
        <v>0</v>
      </c>
    </row>
    <row r="312" spans="2:4">
      <c r="B312" s="2" t="s">
        <v>890</v>
      </c>
      <c r="C312" t="s">
        <v>891</v>
      </c>
      <c r="D312" s="4">
        <f>SUMIF('Stock In'!$C:$C,B:B,'Stock In'!$G:$G)</f>
        <v>0</v>
      </c>
    </row>
    <row r="313" spans="2:4">
      <c r="B313" s="2" t="s">
        <v>892</v>
      </c>
      <c r="C313" t="s">
        <v>893</v>
      </c>
      <c r="D313" s="4">
        <f>SUMIF('Stock In'!$C:$C,B:B,'Stock In'!$G:$G)</f>
        <v>0</v>
      </c>
    </row>
    <row r="314" spans="2:4">
      <c r="B314" s="2" t="s">
        <v>894</v>
      </c>
      <c r="C314" t="s">
        <v>895</v>
      </c>
      <c r="D314" s="4">
        <f>SUMIF('Stock In'!$C:$C,B:B,'Stock In'!$G:$G)</f>
        <v>0</v>
      </c>
    </row>
    <row r="315" spans="2:4">
      <c r="B315" s="2" t="s">
        <v>896</v>
      </c>
      <c r="C315" t="s">
        <v>897</v>
      </c>
      <c r="D315" s="4">
        <f>SUMIF('Stock In'!$C:$C,B:B,'Stock In'!$G:$G)</f>
        <v>0</v>
      </c>
    </row>
    <row r="316" spans="2:4">
      <c r="B316" s="2" t="s">
        <v>898</v>
      </c>
      <c r="C316" t="s">
        <v>899</v>
      </c>
      <c r="D316" s="4">
        <f>SUMIF('Stock In'!$C:$C,B:B,'Stock In'!$G:$G)</f>
        <v>0</v>
      </c>
    </row>
    <row r="317" spans="2:4">
      <c r="B317" s="2" t="s">
        <v>900</v>
      </c>
      <c r="C317" t="s">
        <v>901</v>
      </c>
      <c r="D317" s="4">
        <f>SUMIF('Stock In'!$C:$C,B:B,'Stock In'!$G:$G)</f>
        <v>0</v>
      </c>
    </row>
    <row r="318" spans="2:4">
      <c r="B318" s="2" t="s">
        <v>902</v>
      </c>
      <c r="C318" t="s">
        <v>903</v>
      </c>
      <c r="D318" s="4">
        <f>SUMIF('Stock In'!$C:$C,B:B,'Stock In'!$G:$G)</f>
        <v>0</v>
      </c>
    </row>
    <row r="319" spans="2:4">
      <c r="B319" s="2" t="s">
        <v>904</v>
      </c>
      <c r="C319" t="s">
        <v>905</v>
      </c>
      <c r="D319" s="4">
        <f>SUMIF('Stock In'!$C:$C,B:B,'Stock In'!$G:$G)</f>
        <v>0</v>
      </c>
    </row>
    <row r="320" spans="2:4">
      <c r="B320" s="2" t="s">
        <v>906</v>
      </c>
      <c r="C320" t="s">
        <v>907</v>
      </c>
      <c r="D320" s="4">
        <f>SUMIF('Stock In'!$C:$C,B:B,'Stock In'!$G:$G)</f>
        <v>0</v>
      </c>
    </row>
    <row r="321" spans="2:4">
      <c r="B321" s="2" t="s">
        <v>908</v>
      </c>
      <c r="C321" t="s">
        <v>909</v>
      </c>
      <c r="D321" s="4">
        <f>SUMIF('Stock In'!$C:$C,B:B,'Stock In'!$G:$G)</f>
        <v>0</v>
      </c>
    </row>
    <row r="322" spans="2:4">
      <c r="B322" s="2" t="s">
        <v>910</v>
      </c>
      <c r="C322" t="s">
        <v>911</v>
      </c>
      <c r="D322" s="4">
        <f>SUMIF('Stock In'!$C:$C,B:B,'Stock In'!$G:$G)</f>
        <v>0</v>
      </c>
    </row>
    <row r="323" spans="2:4">
      <c r="B323" s="2" t="s">
        <v>912</v>
      </c>
      <c r="C323" t="s">
        <v>913</v>
      </c>
      <c r="D323" s="4">
        <f>SUMIF('Stock In'!$C:$C,B:B,'Stock In'!$G:$G)</f>
        <v>0</v>
      </c>
    </row>
    <row r="324" spans="2:4">
      <c r="B324" s="2" t="s">
        <v>914</v>
      </c>
      <c r="C324" t="s">
        <v>915</v>
      </c>
      <c r="D324" s="4">
        <f>SUMIF('Stock In'!$C:$C,B:B,'Stock In'!$G:$G)</f>
        <v>0</v>
      </c>
    </row>
    <row r="325" spans="2:4">
      <c r="B325" s="2" t="s">
        <v>916</v>
      </c>
      <c r="C325" t="s">
        <v>917</v>
      </c>
      <c r="D325" s="4">
        <f>SUMIF('Stock In'!$C:$C,B:B,'Stock In'!$G:$G)</f>
        <v>0</v>
      </c>
    </row>
    <row r="326" spans="2:4">
      <c r="B326" s="2" t="s">
        <v>918</v>
      </c>
      <c r="C326" t="s">
        <v>919</v>
      </c>
      <c r="D326" s="4">
        <f>SUMIF('Stock In'!$C:$C,B:B,'Stock In'!$G:$G)</f>
        <v>0</v>
      </c>
    </row>
    <row r="327" spans="2:4">
      <c r="B327" s="2" t="s">
        <v>920</v>
      </c>
      <c r="C327" t="s">
        <v>921</v>
      </c>
      <c r="D327" s="4">
        <f>SUMIF('Stock In'!$C:$C,B:B,'Stock In'!$G:$G)</f>
        <v>0</v>
      </c>
    </row>
    <row r="328" spans="2:4">
      <c r="B328" s="2" t="s">
        <v>922</v>
      </c>
      <c r="C328" t="s">
        <v>923</v>
      </c>
      <c r="D328" s="4">
        <f>SUMIF('Stock In'!$C:$C,B:B,'Stock In'!$G:$G)</f>
        <v>0</v>
      </c>
    </row>
    <row r="329" spans="2:4">
      <c r="B329" s="2" t="s">
        <v>924</v>
      </c>
      <c r="C329" t="s">
        <v>925</v>
      </c>
      <c r="D329" s="4">
        <f>SUMIF('Stock In'!$C:$C,B:B,'Stock In'!$G:$G)</f>
        <v>0</v>
      </c>
    </row>
    <row r="330" spans="2:4">
      <c r="B330" s="2" t="s">
        <v>926</v>
      </c>
      <c r="C330" t="s">
        <v>927</v>
      </c>
      <c r="D330" s="4">
        <f>SUMIF('Stock In'!$C:$C,B:B,'Stock In'!$G:$G)</f>
        <v>0</v>
      </c>
    </row>
    <row r="331" spans="2:4">
      <c r="B331" s="2" t="s">
        <v>928</v>
      </c>
      <c r="C331" t="s">
        <v>929</v>
      </c>
      <c r="D331" s="4">
        <f>SUMIF('Stock In'!$C:$C,B:B,'Stock In'!$G:$G)</f>
        <v>0</v>
      </c>
    </row>
    <row r="332" spans="2:4">
      <c r="B332" s="2" t="s">
        <v>930</v>
      </c>
      <c r="C332" t="s">
        <v>931</v>
      </c>
      <c r="D332" s="4">
        <f>SUMIF('Stock In'!$C:$C,B:B,'Stock In'!$G:$G)</f>
        <v>0</v>
      </c>
    </row>
    <row r="333" spans="2:4">
      <c r="B333" s="2" t="s">
        <v>932</v>
      </c>
      <c r="C333" t="s">
        <v>933</v>
      </c>
      <c r="D333" s="4">
        <f>SUMIF('Stock In'!$C:$C,B:B,'Stock In'!$G:$G)</f>
        <v>0</v>
      </c>
    </row>
    <row r="334" spans="2:4">
      <c r="B334" s="2" t="s">
        <v>934</v>
      </c>
      <c r="C334" t="s">
        <v>935</v>
      </c>
      <c r="D334" s="4">
        <f>SUMIF('Stock In'!$C:$C,B:B,'Stock In'!$G:$G)</f>
        <v>0</v>
      </c>
    </row>
    <row r="335" spans="2:4">
      <c r="B335" s="2" t="s">
        <v>936</v>
      </c>
      <c r="C335" t="s">
        <v>937</v>
      </c>
      <c r="D335" s="4">
        <f>SUMIF('Stock In'!$C:$C,B:B,'Stock In'!$G:$G)</f>
        <v>0</v>
      </c>
    </row>
    <row r="336" spans="2:4">
      <c r="B336" s="2" t="s">
        <v>938</v>
      </c>
      <c r="C336" t="s">
        <v>939</v>
      </c>
      <c r="D336" s="4">
        <f>SUMIF('Stock In'!$C:$C,B:B,'Stock In'!$G:$G)</f>
        <v>0</v>
      </c>
    </row>
    <row r="337" spans="2:4">
      <c r="B337" s="2" t="s">
        <v>940</v>
      </c>
      <c r="C337" t="s">
        <v>941</v>
      </c>
      <c r="D337" s="4">
        <f>SUMIF('Stock In'!$C:$C,B:B,'Stock In'!$G:$G)</f>
        <v>0</v>
      </c>
    </row>
    <row r="338" spans="2:4">
      <c r="B338" s="2" t="s">
        <v>942</v>
      </c>
      <c r="C338" t="s">
        <v>943</v>
      </c>
      <c r="D338" s="4">
        <f>SUMIF('Stock In'!$C:$C,B:B,'Stock In'!$G:$G)</f>
        <v>0</v>
      </c>
    </row>
    <row r="339" spans="2:4">
      <c r="B339" s="2" t="s">
        <v>944</v>
      </c>
      <c r="C339" t="s">
        <v>945</v>
      </c>
      <c r="D339" s="4">
        <f>SUMIF('Stock In'!$C:$C,B:B,'Stock In'!$G:$G)</f>
        <v>0</v>
      </c>
    </row>
    <row r="340" spans="2:4">
      <c r="B340" s="2" t="s">
        <v>946</v>
      </c>
      <c r="C340" t="s">
        <v>947</v>
      </c>
      <c r="D340" s="4">
        <f>SUMIF('Stock In'!$C:$C,B:B,'Stock In'!$G:$G)</f>
        <v>0</v>
      </c>
    </row>
    <row r="341" spans="2:4">
      <c r="B341" s="2" t="s">
        <v>948</v>
      </c>
      <c r="C341" t="s">
        <v>949</v>
      </c>
      <c r="D341" s="4">
        <f>SUMIF('Stock In'!$C:$C,B:B,'Stock In'!$G:$G)</f>
        <v>0</v>
      </c>
    </row>
    <row r="342" spans="2:4">
      <c r="B342" s="2" t="s">
        <v>950</v>
      </c>
      <c r="C342" t="s">
        <v>949</v>
      </c>
      <c r="D342" s="4">
        <f>SUMIF('Stock In'!$C:$C,B:B,'Stock In'!$G:$G)</f>
        <v>0</v>
      </c>
    </row>
    <row r="343" spans="2:4">
      <c r="B343" s="2" t="s">
        <v>951</v>
      </c>
      <c r="C343" t="s">
        <v>952</v>
      </c>
      <c r="D343" s="4">
        <f>SUMIF('Stock In'!$C:$C,B:B,'Stock In'!$G:$G)</f>
        <v>0</v>
      </c>
    </row>
    <row r="344" spans="2:4">
      <c r="B344" s="2" t="s">
        <v>953</v>
      </c>
      <c r="C344" t="s">
        <v>954</v>
      </c>
      <c r="D344" s="4">
        <f>SUMIF('Stock In'!$C:$C,B:B,'Stock In'!$G:$G)</f>
        <v>0</v>
      </c>
    </row>
    <row r="345" spans="2:4">
      <c r="B345" s="2" t="s">
        <v>955</v>
      </c>
      <c r="C345" t="s">
        <v>956</v>
      </c>
      <c r="D345" s="4">
        <f>SUMIF('Stock In'!$C:$C,B:B,'Stock In'!$G:$G)</f>
        <v>0</v>
      </c>
    </row>
    <row r="346" spans="2:4">
      <c r="B346" s="2" t="s">
        <v>957</v>
      </c>
      <c r="C346" t="s">
        <v>958</v>
      </c>
      <c r="D346" s="4">
        <f>SUMIF('Stock In'!$C:$C,B:B,'Stock In'!$G:$G)</f>
        <v>0</v>
      </c>
    </row>
    <row r="347" spans="2:4">
      <c r="B347" s="2" t="s">
        <v>959</v>
      </c>
      <c r="C347" t="s">
        <v>960</v>
      </c>
      <c r="D347" s="4">
        <f>SUMIF('Stock In'!$C:$C,B:B,'Stock In'!$G:$G)</f>
        <v>0</v>
      </c>
    </row>
    <row r="348" spans="2:4">
      <c r="B348" s="2" t="s">
        <v>961</v>
      </c>
      <c r="C348" t="s">
        <v>962</v>
      </c>
      <c r="D348" s="4">
        <f>SUMIF('Stock In'!$C:$C,B:B,'Stock In'!$G:$G)</f>
        <v>0</v>
      </c>
    </row>
    <row r="349" spans="2:4">
      <c r="B349" s="2" t="s">
        <v>963</v>
      </c>
      <c r="C349" t="s">
        <v>964</v>
      </c>
      <c r="D349" s="4">
        <f>SUMIF('Stock In'!$C:$C,B:B,'Stock In'!$G:$G)</f>
        <v>0</v>
      </c>
    </row>
    <row r="350" spans="2:4">
      <c r="B350" s="2" t="s">
        <v>965</v>
      </c>
      <c r="C350" t="s">
        <v>966</v>
      </c>
      <c r="D350" s="4">
        <f>SUMIF('Stock In'!$C:$C,B:B,'Stock In'!$G:$G)</f>
        <v>0</v>
      </c>
    </row>
    <row r="351" spans="2:4">
      <c r="B351" s="2" t="s">
        <v>967</v>
      </c>
      <c r="C351" t="s">
        <v>968</v>
      </c>
      <c r="D351" s="4">
        <f>SUMIF('Stock In'!$C:$C,B:B,'Stock In'!$G:$G)</f>
        <v>0</v>
      </c>
    </row>
    <row r="352" spans="2:4">
      <c r="B352" s="2" t="s">
        <v>969</v>
      </c>
      <c r="C352" t="s">
        <v>970</v>
      </c>
      <c r="D352" s="4">
        <f>SUMIF('Stock In'!$C:$C,B:B,'Stock In'!$G:$G)</f>
        <v>0</v>
      </c>
    </row>
    <row r="353" spans="2:4">
      <c r="B353" s="2" t="s">
        <v>971</v>
      </c>
      <c r="C353" t="s">
        <v>972</v>
      </c>
      <c r="D353" s="4">
        <f>SUMIF('Stock In'!$C:$C,B:B,'Stock In'!$G:$G)</f>
        <v>0</v>
      </c>
    </row>
    <row r="354" spans="2:4">
      <c r="B354" s="2" t="s">
        <v>973</v>
      </c>
      <c r="C354" t="s">
        <v>974</v>
      </c>
      <c r="D354" s="4">
        <f>SUMIF('Stock In'!$C:$C,B:B,'Stock In'!$G:$G)</f>
        <v>0</v>
      </c>
    </row>
    <row r="355" spans="2:4">
      <c r="B355" s="2" t="s">
        <v>975</v>
      </c>
      <c r="C355" t="s">
        <v>976</v>
      </c>
      <c r="D355" s="4">
        <f>SUMIF('Stock In'!$C:$C,B:B,'Stock In'!$G:$G)</f>
        <v>0</v>
      </c>
    </row>
    <row r="356" spans="2:4">
      <c r="B356" s="2" t="s">
        <v>977</v>
      </c>
      <c r="C356" t="s">
        <v>978</v>
      </c>
      <c r="D356" s="4">
        <f>SUMIF('Stock In'!$C:$C,B:B,'Stock In'!$G:$G)</f>
        <v>0</v>
      </c>
    </row>
    <row r="357" spans="2:4">
      <c r="B357" s="2" t="s">
        <v>979</v>
      </c>
      <c r="C357" t="s">
        <v>980</v>
      </c>
      <c r="D357" s="4">
        <f>SUMIF('Stock In'!$C:$C,B:B,'Stock In'!$G:$G)</f>
        <v>0</v>
      </c>
    </row>
    <row r="358" spans="2:4">
      <c r="B358" s="2" t="s">
        <v>981</v>
      </c>
      <c r="C358" t="s">
        <v>982</v>
      </c>
      <c r="D358" s="4">
        <f>SUMIF('Stock In'!$C:$C,B:B,'Stock In'!$G:$G)</f>
        <v>0</v>
      </c>
    </row>
    <row r="359" spans="2:4">
      <c r="B359" s="2" t="s">
        <v>983</v>
      </c>
      <c r="C359" t="s">
        <v>984</v>
      </c>
      <c r="D359" s="4">
        <f>SUMIF('Stock In'!$C:$C,B:B,'Stock In'!$G:$G)</f>
        <v>0</v>
      </c>
    </row>
    <row r="360" spans="2:4">
      <c r="B360" s="2" t="s">
        <v>985</v>
      </c>
      <c r="C360" t="s">
        <v>986</v>
      </c>
      <c r="D360" s="4">
        <f>SUMIF('Stock In'!$C:$C,B:B,'Stock In'!$G:$G)</f>
        <v>0</v>
      </c>
    </row>
    <row r="361" spans="2:4">
      <c r="B361" s="2" t="s">
        <v>987</v>
      </c>
      <c r="C361" t="s">
        <v>988</v>
      </c>
      <c r="D361" s="4">
        <f>SUMIF('Stock In'!$C:$C,B:B,'Stock In'!$G:$G)</f>
        <v>0</v>
      </c>
    </row>
    <row r="362" spans="2:4">
      <c r="B362" s="2" t="s">
        <v>989</v>
      </c>
      <c r="C362" t="s">
        <v>990</v>
      </c>
      <c r="D362" s="4">
        <f>SUMIF('Stock In'!$C:$C,B:B,'Stock In'!$G:$G)</f>
        <v>0</v>
      </c>
    </row>
    <row r="363" spans="2:4">
      <c r="B363" s="2" t="s">
        <v>991</v>
      </c>
      <c r="C363" t="s">
        <v>992</v>
      </c>
      <c r="D363" s="4">
        <f>SUMIF('Stock In'!$C:$C,B:B,'Stock In'!$G:$G)</f>
        <v>0</v>
      </c>
    </row>
    <row r="364" spans="2:4">
      <c r="B364" s="2" t="s">
        <v>993</v>
      </c>
      <c r="C364" t="s">
        <v>994</v>
      </c>
      <c r="D364" s="4">
        <f>SUMIF('Stock In'!$C:$C,B:B,'Stock In'!$G:$G)</f>
        <v>0</v>
      </c>
    </row>
    <row r="365" spans="2:4">
      <c r="B365" s="2" t="s">
        <v>995</v>
      </c>
      <c r="C365" t="s">
        <v>996</v>
      </c>
      <c r="D365" s="4">
        <f>SUMIF('Stock In'!$C:$C,B:B,'Stock In'!$G:$G)</f>
        <v>0</v>
      </c>
    </row>
    <row r="366" spans="2:4">
      <c r="B366" s="2" t="s">
        <v>997</v>
      </c>
      <c r="C366" t="s">
        <v>998</v>
      </c>
      <c r="D366" s="4">
        <f>SUMIF('Stock In'!$C:$C,B:B,'Stock In'!$G:$G)</f>
        <v>0</v>
      </c>
    </row>
    <row r="367" spans="2:4">
      <c r="B367" s="2" t="s">
        <v>999</v>
      </c>
      <c r="C367" t="s">
        <v>1000</v>
      </c>
      <c r="D367" s="4">
        <f>SUMIF('Stock In'!$C:$C,B:B,'Stock In'!$G:$G)</f>
        <v>0</v>
      </c>
    </row>
    <row r="368" spans="2:4">
      <c r="B368" s="2" t="s">
        <v>1001</v>
      </c>
      <c r="C368" t="s">
        <v>1002</v>
      </c>
      <c r="D368" s="4">
        <f>SUMIF('Stock In'!$C:$C,B:B,'Stock In'!$G:$G)</f>
        <v>0</v>
      </c>
    </row>
    <row r="369" spans="2:4">
      <c r="B369" s="2" t="s">
        <v>1003</v>
      </c>
      <c r="C369" t="s">
        <v>1004</v>
      </c>
      <c r="D369" s="4">
        <f>SUMIF('Stock In'!$C:$C,B:B,'Stock In'!$G:$G)</f>
        <v>0</v>
      </c>
    </row>
    <row r="370" spans="2:4">
      <c r="B370" s="2" t="s">
        <v>1005</v>
      </c>
      <c r="C370" t="s">
        <v>1006</v>
      </c>
      <c r="D370" s="4">
        <f>SUMIF('Stock In'!$C:$C,B:B,'Stock In'!$G:$G)</f>
        <v>0</v>
      </c>
    </row>
    <row r="371" spans="2:4">
      <c r="B371" s="2" t="s">
        <v>1007</v>
      </c>
      <c r="C371" t="s">
        <v>1008</v>
      </c>
      <c r="D371" s="4">
        <f>SUMIF('Stock In'!$C:$C,B:B,'Stock In'!$G:$G)</f>
        <v>0</v>
      </c>
    </row>
    <row r="372" spans="2:4">
      <c r="B372" s="2" t="s">
        <v>1009</v>
      </c>
      <c r="C372" t="s">
        <v>1010</v>
      </c>
      <c r="D372" s="4">
        <f>SUMIF('Stock In'!$C:$C,B:B,'Stock In'!$G:$G)</f>
        <v>0</v>
      </c>
    </row>
    <row r="373" spans="2:4">
      <c r="B373" s="2" t="s">
        <v>1011</v>
      </c>
      <c r="C373" t="s">
        <v>1012</v>
      </c>
      <c r="D373" s="4">
        <f>SUMIF('Stock In'!$C:$C,B:B,'Stock In'!$G:$G)</f>
        <v>0</v>
      </c>
    </row>
    <row r="374" spans="2:4">
      <c r="B374" s="2" t="s">
        <v>1013</v>
      </c>
      <c r="C374" t="s">
        <v>1014</v>
      </c>
      <c r="D374" s="4">
        <f>SUMIF('Stock In'!$C:$C,B:B,'Stock In'!$G:$G)</f>
        <v>0</v>
      </c>
    </row>
    <row r="375" spans="2:4">
      <c r="B375" s="2" t="s">
        <v>1015</v>
      </c>
      <c r="C375" t="s">
        <v>1016</v>
      </c>
      <c r="D375" s="4">
        <f>SUMIF('Stock In'!$C:$C,B:B,'Stock In'!$G:$G)</f>
        <v>0</v>
      </c>
    </row>
    <row r="376" spans="2:4">
      <c r="B376" s="2" t="s">
        <v>1017</v>
      </c>
      <c r="C376" t="s">
        <v>1018</v>
      </c>
      <c r="D376" s="4">
        <f>SUMIF('Stock In'!$C:$C,B:B,'Stock In'!$G:$G)</f>
        <v>0</v>
      </c>
    </row>
    <row r="377" spans="2:4">
      <c r="B377" s="2" t="s">
        <v>1019</v>
      </c>
      <c r="C377" t="s">
        <v>1020</v>
      </c>
      <c r="D377" s="4">
        <f>SUMIF('Stock In'!$C:$C,B:B,'Stock In'!$G:$G)</f>
        <v>0</v>
      </c>
    </row>
    <row r="378" spans="2:4">
      <c r="B378" s="2" t="s">
        <v>1021</v>
      </c>
      <c r="C378" t="s">
        <v>1022</v>
      </c>
      <c r="D378" s="4">
        <f>SUMIF('Stock In'!$C:$C,B:B,'Stock In'!$G:$G)</f>
        <v>0</v>
      </c>
    </row>
    <row r="379" spans="2:4">
      <c r="B379" s="2" t="s">
        <v>1023</v>
      </c>
      <c r="C379" t="s">
        <v>1024</v>
      </c>
      <c r="D379" s="4">
        <f>SUMIF('Stock In'!$C:$C,B:B,'Stock In'!$G:$G)</f>
        <v>0</v>
      </c>
    </row>
    <row r="380" spans="2:4">
      <c r="B380" s="2" t="s">
        <v>1025</v>
      </c>
      <c r="C380" t="s">
        <v>1026</v>
      </c>
      <c r="D380" s="4">
        <f>SUMIF('Stock In'!$C:$C,B:B,'Stock In'!$G:$G)</f>
        <v>0</v>
      </c>
    </row>
    <row r="381" spans="2:4">
      <c r="B381" s="2" t="s">
        <v>1027</v>
      </c>
      <c r="C381" t="s">
        <v>1028</v>
      </c>
      <c r="D381" s="4">
        <f>SUMIF('Stock In'!$C:$C,B:B,'Stock In'!$G:$G)</f>
        <v>0</v>
      </c>
    </row>
    <row r="382" spans="2:4">
      <c r="B382" s="2" t="s">
        <v>1029</v>
      </c>
      <c r="C382" t="s">
        <v>1030</v>
      </c>
      <c r="D382" s="4">
        <f>SUMIF('Stock In'!$C:$C,B:B,'Stock In'!$G:$G)</f>
        <v>0</v>
      </c>
    </row>
    <row r="383" spans="2:4">
      <c r="B383" s="2" t="s">
        <v>1031</v>
      </c>
      <c r="C383" t="s">
        <v>1032</v>
      </c>
      <c r="D383" s="4">
        <f>SUMIF('Stock In'!$C:$C,B:B,'Stock In'!$G:$G)</f>
        <v>0</v>
      </c>
    </row>
    <row r="384" spans="2:4">
      <c r="B384" s="2" t="s">
        <v>1033</v>
      </c>
      <c r="C384" t="s">
        <v>1034</v>
      </c>
      <c r="D384" s="4">
        <f>SUMIF('Stock In'!$C:$C,B:B,'Stock In'!$G:$G)</f>
        <v>0</v>
      </c>
    </row>
    <row r="385" spans="2:4">
      <c r="B385" s="2" t="s">
        <v>1035</v>
      </c>
      <c r="C385" t="s">
        <v>1036</v>
      </c>
      <c r="D385" s="4">
        <f>SUMIF('Stock In'!$C:$C,B:B,'Stock In'!$G:$G)</f>
        <v>0</v>
      </c>
    </row>
    <row r="386" spans="2:4">
      <c r="B386" s="2" t="s">
        <v>1037</v>
      </c>
      <c r="C386" t="s">
        <v>1038</v>
      </c>
      <c r="D386" s="4">
        <f>SUMIF('Stock In'!$C:$C,B:B,'Stock In'!$G:$G)</f>
        <v>0</v>
      </c>
    </row>
    <row r="387" spans="2:4">
      <c r="B387" s="2" t="s">
        <v>1039</v>
      </c>
      <c r="C387" t="s">
        <v>1040</v>
      </c>
      <c r="D387" s="4">
        <f>SUMIF('Stock In'!$C:$C,B:B,'Stock In'!$G:$G)</f>
        <v>0</v>
      </c>
    </row>
    <row r="388" spans="2:4">
      <c r="B388" s="2" t="s">
        <v>1041</v>
      </c>
      <c r="C388" t="s">
        <v>1042</v>
      </c>
      <c r="D388" s="4">
        <f>SUMIF('Stock In'!$C:$C,B:B,'Stock In'!$G:$G)</f>
        <v>0</v>
      </c>
    </row>
    <row r="389" spans="2:4">
      <c r="B389" s="2" t="s">
        <v>1043</v>
      </c>
      <c r="C389" t="s">
        <v>1044</v>
      </c>
      <c r="D389" s="4">
        <f>SUMIF('Stock In'!$C:$C,B:B,'Stock In'!$G:$G)</f>
        <v>0</v>
      </c>
    </row>
    <row r="390" spans="2:4">
      <c r="B390" s="2" t="s">
        <v>1045</v>
      </c>
      <c r="C390" t="s">
        <v>1046</v>
      </c>
      <c r="D390" s="4">
        <f>SUMIF('Stock In'!$C:$C,B:B,'Stock In'!$G:$G)</f>
        <v>0</v>
      </c>
    </row>
    <row r="391" spans="2:4">
      <c r="B391" s="2" t="s">
        <v>1047</v>
      </c>
      <c r="C391" t="s">
        <v>1048</v>
      </c>
      <c r="D391" s="4">
        <f>SUMIF('Stock In'!$C:$C,B:B,'Stock In'!$G:$G)</f>
        <v>0</v>
      </c>
    </row>
    <row r="392" spans="2:4">
      <c r="B392" s="2" t="s">
        <v>1049</v>
      </c>
      <c r="C392" t="s">
        <v>1050</v>
      </c>
      <c r="D392" s="4">
        <f>SUMIF('Stock In'!$C:$C,B:B,'Stock In'!$G:$G)</f>
        <v>0</v>
      </c>
    </row>
    <row r="393" spans="2:4">
      <c r="B393" s="2" t="s">
        <v>1051</v>
      </c>
      <c r="C393" t="s">
        <v>1052</v>
      </c>
      <c r="D393" s="4">
        <f>SUMIF('Stock In'!$C:$C,B:B,'Stock In'!$G:$G)</f>
        <v>0</v>
      </c>
    </row>
    <row r="394" spans="2:4">
      <c r="B394" s="2" t="s">
        <v>1053</v>
      </c>
      <c r="C394" t="s">
        <v>1054</v>
      </c>
      <c r="D394" s="4">
        <f>SUMIF('Stock In'!$C:$C,B:B,'Stock In'!$G:$G)</f>
        <v>0</v>
      </c>
    </row>
    <row r="395" spans="2:4">
      <c r="B395" s="2" t="s">
        <v>1055</v>
      </c>
      <c r="C395" t="s">
        <v>1056</v>
      </c>
      <c r="D395" s="4">
        <f>SUMIF('Stock In'!$C:$C,B:B,'Stock In'!$G:$G)</f>
        <v>0</v>
      </c>
    </row>
    <row r="396" spans="2:4">
      <c r="B396" s="2" t="s">
        <v>1057</v>
      </c>
      <c r="C396" t="s">
        <v>1058</v>
      </c>
      <c r="D396" s="4">
        <f>SUMIF('Stock In'!$C:$C,B:B,'Stock In'!$G:$G)</f>
        <v>0</v>
      </c>
    </row>
    <row r="397" spans="2:4">
      <c r="B397" s="2" t="s">
        <v>1059</v>
      </c>
      <c r="C397" t="s">
        <v>1060</v>
      </c>
      <c r="D397" s="4">
        <f>SUMIF('Stock In'!$C:$C,B:B,'Stock In'!$G:$G)</f>
        <v>0</v>
      </c>
    </row>
    <row r="398" spans="2:4">
      <c r="B398" s="2" t="s">
        <v>1061</v>
      </c>
      <c r="C398" t="s">
        <v>1062</v>
      </c>
      <c r="D398" s="4">
        <f>SUMIF('Stock In'!$C:$C,B:B,'Stock In'!$G:$G)</f>
        <v>0</v>
      </c>
    </row>
    <row r="399" spans="2:4">
      <c r="B399" s="2" t="s">
        <v>1063</v>
      </c>
      <c r="C399" t="s">
        <v>1064</v>
      </c>
      <c r="D399" s="4">
        <f>SUMIF('Stock In'!$C:$C,B:B,'Stock In'!$G:$G)</f>
        <v>0</v>
      </c>
    </row>
    <row r="400" spans="2:4">
      <c r="B400" s="2" t="s">
        <v>1065</v>
      </c>
      <c r="C400" t="s">
        <v>1066</v>
      </c>
      <c r="D400" s="4">
        <f>SUMIF('Stock In'!$C:$C,B:B,'Stock In'!$G:$G)</f>
        <v>0</v>
      </c>
    </row>
    <row r="401" spans="2:4">
      <c r="B401" s="2" t="s">
        <v>1067</v>
      </c>
      <c r="C401" t="s">
        <v>1068</v>
      </c>
      <c r="D401" s="4">
        <f>SUMIF('Stock In'!$C:$C,B:B,'Stock In'!$G:$G)</f>
        <v>0</v>
      </c>
    </row>
    <row r="402" spans="2:4">
      <c r="B402" s="2" t="s">
        <v>1069</v>
      </c>
      <c r="C402" t="s">
        <v>1070</v>
      </c>
      <c r="D402" s="4">
        <f>SUMIF('Stock In'!$C:$C,B:B,'Stock In'!$G:$G)</f>
        <v>0</v>
      </c>
    </row>
    <row r="403" spans="2:4">
      <c r="B403" s="2" t="s">
        <v>1071</v>
      </c>
      <c r="C403" t="s">
        <v>1072</v>
      </c>
      <c r="D403" s="4">
        <f>SUMIF('Stock In'!$C:$C,B:B,'Stock In'!$G:$G)</f>
        <v>0</v>
      </c>
    </row>
    <row r="404" spans="2:4">
      <c r="B404" s="2" t="s">
        <v>1073</v>
      </c>
      <c r="C404" t="s">
        <v>1074</v>
      </c>
      <c r="D404" s="4">
        <f>SUMIF('Stock In'!$C:$C,B:B,'Stock In'!$G:$G)</f>
        <v>0</v>
      </c>
    </row>
    <row r="405" spans="2:4">
      <c r="B405" s="2" t="s">
        <v>1075</v>
      </c>
      <c r="C405" t="s">
        <v>1076</v>
      </c>
      <c r="D405" s="4">
        <f>SUMIF('Stock In'!$C:$C,B:B,'Stock In'!$G:$G)</f>
        <v>0</v>
      </c>
    </row>
    <row r="406" spans="2:4">
      <c r="B406" s="2" t="s">
        <v>1077</v>
      </c>
      <c r="C406" t="s">
        <v>1078</v>
      </c>
      <c r="D406" s="4">
        <f>SUMIF('Stock In'!$C:$C,B:B,'Stock In'!$G:$G)</f>
        <v>0</v>
      </c>
    </row>
    <row r="407" spans="2:4">
      <c r="B407" s="2" t="s">
        <v>1079</v>
      </c>
      <c r="C407" t="s">
        <v>1080</v>
      </c>
      <c r="D407" s="4">
        <f>SUMIF('Stock In'!$C:$C,B:B,'Stock In'!$G:$G)</f>
        <v>0</v>
      </c>
    </row>
    <row r="408" spans="2:4">
      <c r="B408" s="2" t="s">
        <v>1081</v>
      </c>
      <c r="C408" t="s">
        <v>1082</v>
      </c>
      <c r="D408" s="4">
        <f>SUMIF('Stock In'!$C:$C,B:B,'Stock In'!$G:$G)</f>
        <v>0</v>
      </c>
    </row>
    <row r="409" spans="2:4">
      <c r="B409" s="2" t="s">
        <v>1083</v>
      </c>
      <c r="C409" t="s">
        <v>1084</v>
      </c>
      <c r="D409" s="4">
        <f>SUMIF('Stock In'!$C:$C,B:B,'Stock In'!$G:$G)</f>
        <v>0</v>
      </c>
    </row>
    <row r="410" spans="2:4">
      <c r="B410" s="2" t="s">
        <v>1085</v>
      </c>
      <c r="C410" t="s">
        <v>1086</v>
      </c>
      <c r="D410" s="4">
        <f>SUMIF('Stock In'!$C:$C,B:B,'Stock In'!$G:$G)</f>
        <v>0</v>
      </c>
    </row>
    <row r="411" spans="2:4">
      <c r="B411" s="2" t="s">
        <v>1087</v>
      </c>
      <c r="C411" t="s">
        <v>1088</v>
      </c>
      <c r="D411" s="4">
        <f>SUMIF('Stock In'!$C:$C,B:B,'Stock In'!$G:$G)</f>
        <v>0</v>
      </c>
    </row>
    <row r="412" spans="2:4">
      <c r="B412" s="2" t="s">
        <v>1089</v>
      </c>
      <c r="C412" t="s">
        <v>1090</v>
      </c>
      <c r="D412" s="4">
        <f>SUMIF('Stock In'!$C:$C,B:B,'Stock In'!$G:$G)</f>
        <v>0</v>
      </c>
    </row>
    <row r="413" spans="2:4">
      <c r="B413" s="2" t="s">
        <v>1091</v>
      </c>
      <c r="C413" t="s">
        <v>1092</v>
      </c>
      <c r="D413" s="4">
        <f>SUMIF('Stock In'!$C:$C,B:B,'Stock In'!$G:$G)</f>
        <v>0</v>
      </c>
    </row>
    <row r="414" spans="2:4">
      <c r="B414" s="2" t="s">
        <v>1093</v>
      </c>
      <c r="C414" t="s">
        <v>1094</v>
      </c>
      <c r="D414" s="4">
        <f>SUMIF('Stock In'!$C:$C,B:B,'Stock In'!$G:$G)</f>
        <v>0</v>
      </c>
    </row>
    <row r="415" spans="2:4">
      <c r="B415" s="2" t="s">
        <v>1095</v>
      </c>
      <c r="C415" t="s">
        <v>1096</v>
      </c>
      <c r="D415" s="4">
        <f>SUMIF('Stock In'!$C:$C,B:B,'Stock In'!$G:$G)</f>
        <v>0</v>
      </c>
    </row>
    <row r="416" spans="2:4">
      <c r="B416" s="2" t="s">
        <v>1097</v>
      </c>
      <c r="C416" t="s">
        <v>1098</v>
      </c>
      <c r="D416" s="4">
        <f>SUMIF('Stock In'!$C:$C,B:B,'Stock In'!$G:$G)</f>
        <v>0</v>
      </c>
    </row>
    <row r="417" spans="2:4">
      <c r="B417" s="2" t="s">
        <v>1099</v>
      </c>
      <c r="C417" t="s">
        <v>1100</v>
      </c>
      <c r="D417" s="4">
        <f>SUMIF('Stock In'!$C:$C,B:B,'Stock In'!$G:$G)</f>
        <v>0</v>
      </c>
    </row>
    <row r="418" spans="2:4">
      <c r="B418" s="2" t="s">
        <v>1101</v>
      </c>
      <c r="C418" t="s">
        <v>1102</v>
      </c>
      <c r="D418" s="4">
        <f>SUMIF('Stock In'!$C:$C,B:B,'Stock In'!$G:$G)</f>
        <v>0</v>
      </c>
    </row>
    <row r="419" spans="2:4">
      <c r="B419" s="2" t="s">
        <v>1103</v>
      </c>
      <c r="C419" t="s">
        <v>1104</v>
      </c>
      <c r="D419" s="4">
        <f>SUMIF('Stock In'!$C:$C,B:B,'Stock In'!$G:$G)</f>
        <v>0</v>
      </c>
    </row>
    <row r="420" spans="2:4">
      <c r="B420" s="2" t="s">
        <v>1105</v>
      </c>
      <c r="C420" t="s">
        <v>1106</v>
      </c>
      <c r="D420" s="4">
        <f>SUMIF('Stock In'!$C:$C,B:B,'Stock In'!$G:$G)</f>
        <v>0</v>
      </c>
    </row>
    <row r="421" spans="2:4">
      <c r="B421" s="2" t="s">
        <v>1107</v>
      </c>
      <c r="C421" t="s">
        <v>1108</v>
      </c>
      <c r="D421" s="4">
        <f>SUMIF('Stock In'!$C:$C,B:B,'Stock In'!$G:$G)</f>
        <v>0</v>
      </c>
    </row>
    <row r="422" spans="2:4">
      <c r="B422" s="2" t="s">
        <v>1109</v>
      </c>
      <c r="C422" t="s">
        <v>1110</v>
      </c>
      <c r="D422" s="4">
        <f>SUMIF('Stock In'!$C:$C,B:B,'Stock In'!$G:$G)</f>
        <v>0</v>
      </c>
    </row>
    <row r="423" spans="2:4">
      <c r="B423" s="2" t="s">
        <v>1111</v>
      </c>
      <c r="C423" t="s">
        <v>1112</v>
      </c>
      <c r="D423" s="4">
        <f>SUMIF('Stock In'!$C:$C,B:B,'Stock In'!$G:$G)</f>
        <v>0</v>
      </c>
    </row>
    <row r="424" spans="2:4">
      <c r="B424" s="2" t="s">
        <v>1113</v>
      </c>
      <c r="C424" t="s">
        <v>1114</v>
      </c>
      <c r="D424" s="4">
        <f>SUMIF('Stock In'!$C:$C,B:B,'Stock In'!$G:$G)</f>
        <v>0</v>
      </c>
    </row>
    <row r="425" spans="2:4">
      <c r="B425" s="2" t="s">
        <v>1115</v>
      </c>
      <c r="C425" t="s">
        <v>1116</v>
      </c>
      <c r="D425" s="4">
        <f>SUMIF('Stock In'!$C:$C,B:B,'Stock In'!$G:$G)</f>
        <v>0</v>
      </c>
    </row>
    <row r="426" spans="2:4">
      <c r="B426" s="2" t="s">
        <v>1117</v>
      </c>
      <c r="C426" t="s">
        <v>1118</v>
      </c>
      <c r="D426" s="4">
        <f>SUMIF('Stock In'!$C:$C,B:B,'Stock In'!$G:$G)</f>
        <v>0</v>
      </c>
    </row>
    <row r="427" spans="2:4">
      <c r="B427" s="2" t="s">
        <v>1119</v>
      </c>
      <c r="C427" t="s">
        <v>1120</v>
      </c>
      <c r="D427" s="4">
        <f>SUMIF('Stock In'!$C:$C,B:B,'Stock In'!$G:$G)</f>
        <v>0</v>
      </c>
    </row>
    <row r="428" spans="2:4">
      <c r="B428" s="2" t="s">
        <v>1121</v>
      </c>
      <c r="C428" t="s">
        <v>1122</v>
      </c>
      <c r="D428" s="4">
        <f>SUMIF('Stock In'!$C:$C,B:B,'Stock In'!$G:$G)</f>
        <v>0</v>
      </c>
    </row>
    <row r="429" spans="2:4">
      <c r="B429" s="2" t="s">
        <v>1123</v>
      </c>
      <c r="C429" t="s">
        <v>1124</v>
      </c>
      <c r="D429" s="4">
        <f>SUMIF('Stock In'!$C:$C,B:B,'Stock In'!$G:$G)</f>
        <v>0</v>
      </c>
    </row>
    <row r="430" spans="2:4">
      <c r="B430" s="2" t="s">
        <v>1125</v>
      </c>
      <c r="C430" t="s">
        <v>1126</v>
      </c>
      <c r="D430" s="4">
        <f>SUMIF('Stock In'!$C:$C,B:B,'Stock In'!$G:$G)</f>
        <v>0</v>
      </c>
    </row>
    <row r="431" spans="2:4">
      <c r="B431" s="2" t="s">
        <v>1127</v>
      </c>
      <c r="C431" t="s">
        <v>1128</v>
      </c>
      <c r="D431" s="4">
        <f>SUMIF('Stock In'!$C:$C,B:B,'Stock In'!$G:$G)</f>
        <v>0</v>
      </c>
    </row>
    <row r="432" spans="2:4">
      <c r="B432" s="2" t="s">
        <v>1129</v>
      </c>
      <c r="C432" t="s">
        <v>1128</v>
      </c>
      <c r="D432" s="4">
        <f>SUMIF('Stock In'!$C:$C,B:B,'Stock In'!$G:$G)</f>
        <v>0</v>
      </c>
    </row>
    <row r="433" spans="2:4">
      <c r="B433" s="2" t="s">
        <v>1130</v>
      </c>
      <c r="C433" t="s">
        <v>1131</v>
      </c>
      <c r="D433" s="4">
        <f>SUMIF('Stock In'!$C:$C,B:B,'Stock In'!$G:$G)</f>
        <v>0</v>
      </c>
    </row>
    <row r="434" spans="2:4">
      <c r="B434" s="2" t="s">
        <v>1132</v>
      </c>
      <c r="C434" t="s">
        <v>1133</v>
      </c>
      <c r="D434" s="4">
        <f>SUMIF('Stock In'!$C:$C,B:B,'Stock In'!$G:$G)</f>
        <v>0</v>
      </c>
    </row>
    <row r="435" spans="2:4">
      <c r="B435" s="2" t="s">
        <v>1134</v>
      </c>
      <c r="C435" t="s">
        <v>1135</v>
      </c>
      <c r="D435" s="4">
        <f>SUMIF('Stock In'!$C:$C,B:B,'Stock In'!$G:$G)</f>
        <v>0</v>
      </c>
    </row>
    <row r="436" spans="2:4">
      <c r="B436" s="2" t="s">
        <v>1136</v>
      </c>
      <c r="C436" t="s">
        <v>1137</v>
      </c>
      <c r="D436" s="4">
        <f>SUMIF('Stock In'!$C:$C,B:B,'Stock In'!$G:$G)</f>
        <v>0</v>
      </c>
    </row>
    <row r="437" spans="2:4">
      <c r="B437" s="2" t="s">
        <v>1138</v>
      </c>
      <c r="C437" t="s">
        <v>1139</v>
      </c>
      <c r="D437" s="4">
        <f>SUMIF('Stock In'!$C:$C,B:B,'Stock In'!$G:$G)</f>
        <v>0</v>
      </c>
    </row>
    <row r="438" spans="2:4">
      <c r="B438" s="2" t="s">
        <v>1140</v>
      </c>
      <c r="C438" t="s">
        <v>1141</v>
      </c>
      <c r="D438" s="4">
        <f>SUMIF('Stock In'!$C:$C,B:B,'Stock In'!$G:$G)</f>
        <v>0</v>
      </c>
    </row>
    <row r="439" spans="2:4">
      <c r="B439" s="2" t="s">
        <v>1142</v>
      </c>
      <c r="C439" t="s">
        <v>1141</v>
      </c>
      <c r="D439" s="4">
        <f>SUMIF('Stock In'!$C:$C,B:B,'Stock In'!$G:$G)</f>
        <v>0</v>
      </c>
    </row>
    <row r="440" spans="2:4">
      <c r="B440" s="2" t="s">
        <v>1143</v>
      </c>
      <c r="C440" t="s">
        <v>1144</v>
      </c>
      <c r="D440" s="4">
        <f>SUMIF('Stock In'!$C:$C,B:B,'Stock In'!$G:$G)</f>
        <v>0</v>
      </c>
    </row>
    <row r="441" spans="2:4">
      <c r="B441" s="2" t="s">
        <v>1145</v>
      </c>
      <c r="C441" t="s">
        <v>1146</v>
      </c>
      <c r="D441" s="4">
        <f>SUMIF('Stock In'!$C:$C,B:B,'Stock In'!$G:$G)</f>
        <v>0</v>
      </c>
    </row>
    <row r="442" spans="2:4">
      <c r="B442" s="2" t="s">
        <v>1147</v>
      </c>
      <c r="C442" t="s">
        <v>1148</v>
      </c>
      <c r="D442" s="4">
        <f>SUMIF('Stock In'!$C:$C,B:B,'Stock In'!$G:$G)</f>
        <v>0</v>
      </c>
    </row>
    <row r="443" spans="2:4">
      <c r="B443" s="2" t="s">
        <v>1149</v>
      </c>
      <c r="C443" t="s">
        <v>1150</v>
      </c>
      <c r="D443" s="4">
        <f>SUMIF('Stock In'!$C:$C,B:B,'Stock In'!$G:$G)</f>
        <v>0</v>
      </c>
    </row>
    <row r="444" spans="2:4">
      <c r="B444" s="2" t="s">
        <v>1151</v>
      </c>
      <c r="C444" t="s">
        <v>1152</v>
      </c>
      <c r="D444" s="4">
        <f>SUMIF('Stock In'!$C:$C,B:B,'Stock In'!$G:$G)</f>
        <v>0</v>
      </c>
    </row>
    <row r="445" spans="2:4">
      <c r="B445" s="2" t="s">
        <v>1153</v>
      </c>
      <c r="C445" t="s">
        <v>1154</v>
      </c>
      <c r="D445" s="4">
        <f>SUMIF('Stock In'!$C:$C,B:B,'Stock In'!$G:$G)</f>
        <v>0</v>
      </c>
    </row>
    <row r="446" spans="2:4">
      <c r="B446" s="2" t="s">
        <v>1155</v>
      </c>
      <c r="C446" t="s">
        <v>1156</v>
      </c>
      <c r="D446" s="4">
        <f>SUMIF('Stock In'!$C:$C,B:B,'Stock In'!$G:$G)</f>
        <v>0</v>
      </c>
    </row>
    <row r="447" spans="2:4">
      <c r="B447" s="2" t="s">
        <v>1157</v>
      </c>
      <c r="C447" t="s">
        <v>1158</v>
      </c>
      <c r="D447" s="4">
        <f>SUMIF('Stock In'!$C:$C,B:B,'Stock In'!$G:$G)</f>
        <v>0</v>
      </c>
    </row>
    <row r="448" spans="2:4">
      <c r="B448" s="2" t="s">
        <v>1159</v>
      </c>
      <c r="C448" t="s">
        <v>1160</v>
      </c>
      <c r="D448" s="4">
        <f>SUMIF('Stock In'!$C:$C,B:B,'Stock In'!$G:$G)</f>
        <v>0</v>
      </c>
    </row>
    <row r="449" spans="2:4">
      <c r="B449" s="2" t="s">
        <v>1161</v>
      </c>
      <c r="C449" t="s">
        <v>1162</v>
      </c>
      <c r="D449" s="4">
        <f>SUMIF('Stock In'!$C:$C,B:B,'Stock In'!$G:$G)</f>
        <v>0</v>
      </c>
    </row>
    <row r="450" spans="2:4">
      <c r="B450" s="2" t="s">
        <v>1163</v>
      </c>
      <c r="C450" t="s">
        <v>1164</v>
      </c>
      <c r="D450" s="4">
        <f>SUMIF('Stock In'!$C:$C,B:B,'Stock In'!$G:$G)</f>
        <v>0</v>
      </c>
    </row>
    <row r="451" spans="2:4">
      <c r="B451" s="2" t="s">
        <v>1165</v>
      </c>
      <c r="C451" t="s">
        <v>1166</v>
      </c>
      <c r="D451" s="4">
        <f>SUMIF('Stock In'!$C:$C,B:B,'Stock In'!$G:$G)</f>
        <v>0</v>
      </c>
    </row>
    <row r="452" spans="2:4">
      <c r="B452" s="2" t="s">
        <v>1167</v>
      </c>
      <c r="C452" t="s">
        <v>1168</v>
      </c>
      <c r="D452" s="4">
        <f>SUMIF('Stock In'!$C:$C,B:B,'Stock In'!$G:$G)</f>
        <v>0</v>
      </c>
    </row>
    <row r="453" spans="2:4">
      <c r="B453" s="2" t="s">
        <v>1169</v>
      </c>
      <c r="C453" t="s">
        <v>1170</v>
      </c>
      <c r="D453" s="4">
        <f>SUMIF('Stock In'!$C:$C,B:B,'Stock In'!$G:$G)</f>
        <v>0</v>
      </c>
    </row>
    <row r="454" spans="2:4">
      <c r="B454" s="2" t="s">
        <v>1171</v>
      </c>
      <c r="C454" t="s">
        <v>1172</v>
      </c>
      <c r="D454" s="4">
        <f>SUMIF('Stock In'!$C:$C,B:B,'Stock In'!$G:$G)</f>
        <v>0</v>
      </c>
    </row>
    <row r="455" spans="2:4">
      <c r="B455" s="2" t="s">
        <v>1173</v>
      </c>
      <c r="C455" t="s">
        <v>1174</v>
      </c>
      <c r="D455" s="4">
        <f>SUMIF('Stock In'!$C:$C,B:B,'Stock In'!$G:$G)</f>
        <v>0</v>
      </c>
    </row>
    <row r="456" spans="2:4">
      <c r="B456" s="2" t="s">
        <v>1175</v>
      </c>
      <c r="C456" t="s">
        <v>1176</v>
      </c>
      <c r="D456" s="4">
        <f>SUMIF('Stock In'!$C:$C,B:B,'Stock In'!$G:$G)</f>
        <v>0</v>
      </c>
    </row>
    <row r="457" spans="2:4">
      <c r="B457" s="2" t="s">
        <v>1177</v>
      </c>
      <c r="C457" t="s">
        <v>1178</v>
      </c>
      <c r="D457" s="4">
        <f>SUMIF('Stock In'!$C:$C,B:B,'Stock In'!$G:$G)</f>
        <v>0</v>
      </c>
    </row>
    <row r="458" spans="2:4">
      <c r="B458" s="2" t="s">
        <v>1179</v>
      </c>
      <c r="C458" t="s">
        <v>1180</v>
      </c>
      <c r="D458" s="4">
        <f>SUMIF('Stock In'!$C:$C,B:B,'Stock In'!$G:$G)</f>
        <v>0</v>
      </c>
    </row>
    <row r="459" spans="2:4">
      <c r="B459" s="2" t="s">
        <v>1181</v>
      </c>
      <c r="C459" t="s">
        <v>1182</v>
      </c>
      <c r="D459" s="4">
        <f>SUMIF('Stock In'!$C:$C,B:B,'Stock In'!$G:$G)</f>
        <v>0</v>
      </c>
    </row>
    <row r="460" spans="2:4">
      <c r="B460" s="2" t="s">
        <v>1183</v>
      </c>
      <c r="C460" t="s">
        <v>1184</v>
      </c>
      <c r="D460" s="4">
        <f>SUMIF('Stock In'!$C:$C,B:B,'Stock In'!$G:$G)</f>
        <v>0</v>
      </c>
    </row>
    <row r="461" spans="2:4">
      <c r="B461" s="2" t="s">
        <v>1185</v>
      </c>
      <c r="C461" t="s">
        <v>1186</v>
      </c>
      <c r="D461" s="4">
        <f>SUMIF('Stock In'!$C:$C,B:B,'Stock In'!$G:$G)</f>
        <v>0</v>
      </c>
    </row>
    <row r="462" spans="2:4">
      <c r="B462" s="2" t="s">
        <v>1187</v>
      </c>
      <c r="C462" t="s">
        <v>1188</v>
      </c>
      <c r="D462" s="4">
        <f>SUMIF('Stock In'!$C:$C,B:B,'Stock In'!$G:$G)</f>
        <v>0</v>
      </c>
    </row>
    <row r="463" spans="2:4">
      <c r="B463" s="2" t="s">
        <v>1189</v>
      </c>
      <c r="C463" t="s">
        <v>1190</v>
      </c>
      <c r="D463" s="4">
        <f>SUMIF('Stock In'!$C:$C,B:B,'Stock In'!$G:$G)</f>
        <v>0</v>
      </c>
    </row>
    <row r="464" spans="2:4">
      <c r="B464" s="2" t="s">
        <v>1191</v>
      </c>
      <c r="C464" t="s">
        <v>1192</v>
      </c>
      <c r="D464" s="4">
        <f>SUMIF('Stock In'!$C:$C,B:B,'Stock In'!$G:$G)</f>
        <v>0</v>
      </c>
    </row>
    <row r="465" spans="2:4">
      <c r="B465" s="2" t="s">
        <v>1193</v>
      </c>
      <c r="C465" t="s">
        <v>1194</v>
      </c>
      <c r="D465" s="4">
        <f>SUMIF('Stock In'!$C:$C,B:B,'Stock In'!$G:$G)</f>
        <v>0</v>
      </c>
    </row>
    <row r="466" spans="2:4">
      <c r="B466" s="2" t="s">
        <v>1195</v>
      </c>
      <c r="C466" t="s">
        <v>1196</v>
      </c>
      <c r="D466" s="4">
        <f>SUMIF('Stock In'!$C:$C,B:B,'Stock In'!$G:$G)</f>
        <v>0</v>
      </c>
    </row>
    <row r="467" spans="2:4">
      <c r="B467" s="2" t="s">
        <v>1197</v>
      </c>
      <c r="C467" t="s">
        <v>1198</v>
      </c>
      <c r="D467" s="4">
        <f>SUMIF('Stock In'!$C:$C,B:B,'Stock In'!$G:$G)</f>
        <v>0</v>
      </c>
    </row>
    <row r="468" spans="2:4">
      <c r="B468" s="2" t="s">
        <v>1199</v>
      </c>
      <c r="C468" t="s">
        <v>1200</v>
      </c>
      <c r="D468" s="4">
        <f>SUMIF('Stock In'!$C:$C,B:B,'Stock In'!$G:$G)</f>
        <v>0</v>
      </c>
    </row>
    <row r="469" spans="2:4">
      <c r="B469" s="2" t="s">
        <v>1201</v>
      </c>
      <c r="C469" t="s">
        <v>1202</v>
      </c>
      <c r="D469" s="4">
        <f>SUMIF('Stock In'!$C:$C,B:B,'Stock In'!$G:$G)</f>
        <v>0</v>
      </c>
    </row>
    <row r="470" spans="2:4">
      <c r="B470" s="2" t="s">
        <v>1203</v>
      </c>
      <c r="C470" t="s">
        <v>1204</v>
      </c>
      <c r="D470" s="4">
        <f>SUMIF('Stock In'!$C:$C,B:B,'Stock In'!$G:$G)</f>
        <v>0</v>
      </c>
    </row>
    <row r="471" spans="2:4">
      <c r="B471" s="2" t="s">
        <v>1205</v>
      </c>
      <c r="C471" t="s">
        <v>1206</v>
      </c>
      <c r="D471" s="4">
        <f>SUMIF('Stock In'!$C:$C,B:B,'Stock In'!$G:$G)</f>
        <v>0</v>
      </c>
    </row>
    <row r="472" spans="2:4">
      <c r="B472" s="2" t="s">
        <v>1207</v>
      </c>
      <c r="C472" t="s">
        <v>1208</v>
      </c>
      <c r="D472" s="4">
        <f>SUMIF('Stock In'!$C:$C,B:B,'Stock In'!$G:$G)</f>
        <v>0</v>
      </c>
    </row>
    <row r="473" spans="2:4">
      <c r="B473" s="2" t="s">
        <v>1209</v>
      </c>
      <c r="C473" t="s">
        <v>1210</v>
      </c>
      <c r="D473" s="4">
        <f>SUMIF('Stock In'!$C:$C,B:B,'Stock In'!$G:$G)</f>
        <v>0</v>
      </c>
    </row>
    <row r="474" spans="2:4">
      <c r="B474" s="2" t="s">
        <v>1211</v>
      </c>
      <c r="C474" t="s">
        <v>1212</v>
      </c>
      <c r="D474" s="4">
        <f>SUMIF('Stock In'!$C:$C,B:B,'Stock In'!$G:$G)</f>
        <v>0</v>
      </c>
    </row>
    <row r="475" spans="2:4">
      <c r="B475" s="2" t="s">
        <v>1213</v>
      </c>
      <c r="C475" t="s">
        <v>1214</v>
      </c>
      <c r="D475" s="4">
        <f>SUMIF('Stock In'!$C:$C,B:B,'Stock In'!$G:$G)</f>
        <v>0</v>
      </c>
    </row>
    <row r="476" spans="2:4">
      <c r="B476" s="2" t="s">
        <v>1215</v>
      </c>
      <c r="C476" t="s">
        <v>1216</v>
      </c>
      <c r="D476" s="4">
        <f>SUMIF('Stock In'!$C:$C,B:B,'Stock In'!$G:$G)</f>
        <v>0</v>
      </c>
    </row>
    <row r="477" spans="2:4">
      <c r="B477" s="2" t="s">
        <v>1217</v>
      </c>
      <c r="C477" t="s">
        <v>1218</v>
      </c>
      <c r="D477" s="4">
        <f>SUMIF('Stock In'!$C:$C,B:B,'Stock In'!$G:$G)</f>
        <v>0</v>
      </c>
    </row>
    <row r="478" spans="2:4">
      <c r="B478" s="2" t="s">
        <v>1219</v>
      </c>
      <c r="C478" t="s">
        <v>1220</v>
      </c>
      <c r="D478" s="4">
        <f>SUMIF('Stock In'!$C:$C,B:B,'Stock In'!$G:$G)</f>
        <v>0</v>
      </c>
    </row>
    <row r="479" spans="2:4">
      <c r="B479" s="2" t="s">
        <v>1221</v>
      </c>
      <c r="C479" t="s">
        <v>1222</v>
      </c>
      <c r="D479" s="4">
        <f>SUMIF('Stock In'!$C:$C,B:B,'Stock In'!$G:$G)</f>
        <v>0</v>
      </c>
    </row>
    <row r="480" spans="2:4">
      <c r="B480" s="2" t="s">
        <v>1223</v>
      </c>
      <c r="C480" t="s">
        <v>1224</v>
      </c>
      <c r="D480" s="4">
        <f>SUMIF('Stock In'!$C:$C,B:B,'Stock In'!$G:$G)</f>
        <v>0</v>
      </c>
    </row>
    <row r="481" spans="2:4">
      <c r="B481" s="2" t="s">
        <v>1225</v>
      </c>
      <c r="C481" t="s">
        <v>1226</v>
      </c>
      <c r="D481" s="4">
        <f>SUMIF('Stock In'!$C:$C,B:B,'Stock In'!$G:$G)</f>
        <v>0</v>
      </c>
    </row>
    <row r="482" spans="2:4">
      <c r="B482" s="2" t="s">
        <v>1227</v>
      </c>
      <c r="C482" t="s">
        <v>1228</v>
      </c>
      <c r="D482" s="4">
        <f>SUMIF('Stock In'!$C:$C,B:B,'Stock In'!$G:$G)</f>
        <v>0</v>
      </c>
    </row>
    <row r="483" spans="2:4">
      <c r="B483" s="2" t="s">
        <v>1229</v>
      </c>
      <c r="C483" t="s">
        <v>1230</v>
      </c>
      <c r="D483" s="4">
        <f>SUMIF('Stock In'!$C:$C,B:B,'Stock In'!$G:$G)</f>
        <v>0</v>
      </c>
    </row>
    <row r="484" spans="2:4">
      <c r="B484" s="2" t="s">
        <v>1231</v>
      </c>
      <c r="C484" t="s">
        <v>1232</v>
      </c>
      <c r="D484" s="4">
        <f>SUMIF('Stock In'!$C:$C,B:B,'Stock In'!$G:$G)</f>
        <v>0</v>
      </c>
    </row>
    <row r="485" spans="2:4">
      <c r="B485" s="2" t="s">
        <v>1233</v>
      </c>
      <c r="C485" t="s">
        <v>1234</v>
      </c>
      <c r="D485" s="4">
        <f>SUMIF('Stock In'!$C:$C,B:B,'Stock In'!$G:$G)</f>
        <v>0</v>
      </c>
    </row>
    <row r="486" spans="2:4">
      <c r="B486" s="2" t="s">
        <v>1235</v>
      </c>
      <c r="C486" t="s">
        <v>1236</v>
      </c>
      <c r="D486" s="4">
        <f>SUMIF('Stock In'!$C:$C,B:B,'Stock In'!$G:$G)</f>
        <v>0</v>
      </c>
    </row>
    <row r="487" spans="2:4">
      <c r="B487" s="2" t="s">
        <v>1237</v>
      </c>
      <c r="C487" t="s">
        <v>1238</v>
      </c>
      <c r="D487" s="4">
        <f>SUMIF('Stock In'!$C:$C,B:B,'Stock In'!$G:$G)</f>
        <v>0</v>
      </c>
    </row>
    <row r="488" spans="2:4">
      <c r="B488" s="2" t="s">
        <v>1239</v>
      </c>
      <c r="C488" t="s">
        <v>1240</v>
      </c>
      <c r="D488" s="4">
        <f>SUMIF('Stock In'!$C:$C,B:B,'Stock In'!$G:$G)</f>
        <v>0</v>
      </c>
    </row>
    <row r="489" spans="2:4">
      <c r="B489" s="2" t="s">
        <v>1241</v>
      </c>
      <c r="C489" t="s">
        <v>1242</v>
      </c>
      <c r="D489" s="4">
        <f>SUMIF('Stock In'!$C:$C,B:B,'Stock In'!$G:$G)</f>
        <v>0</v>
      </c>
    </row>
    <row r="490" spans="2:4">
      <c r="B490" s="2" t="s">
        <v>1243</v>
      </c>
      <c r="C490" t="s">
        <v>1244</v>
      </c>
      <c r="D490" s="4">
        <f>SUMIF('Stock In'!$C:$C,B:B,'Stock In'!$G:$G)</f>
        <v>0</v>
      </c>
    </row>
    <row r="491" spans="2:4">
      <c r="B491" s="2" t="s">
        <v>1245</v>
      </c>
      <c r="C491" t="s">
        <v>1246</v>
      </c>
      <c r="D491" s="4">
        <f>SUMIF('Stock In'!$C:$C,B:B,'Stock In'!$G:$G)</f>
        <v>0</v>
      </c>
    </row>
    <row r="492" spans="2:4">
      <c r="B492" s="2" t="s">
        <v>1247</v>
      </c>
      <c r="C492" t="s">
        <v>1248</v>
      </c>
      <c r="D492" s="4">
        <f>SUMIF('Stock In'!$C:$C,B:B,'Stock In'!$G:$G)</f>
        <v>0</v>
      </c>
    </row>
    <row r="493" spans="2:4">
      <c r="B493" s="2" t="s">
        <v>1249</v>
      </c>
      <c r="C493" t="s">
        <v>1250</v>
      </c>
      <c r="D493" s="4">
        <f>SUMIF('Stock In'!$C:$C,B:B,'Stock In'!$G:$G)</f>
        <v>0</v>
      </c>
    </row>
    <row r="494" spans="2:4">
      <c r="B494" s="2" t="s">
        <v>1251</v>
      </c>
      <c r="C494" t="s">
        <v>1252</v>
      </c>
      <c r="D494" s="4">
        <f>SUMIF('Stock In'!$C:$C,B:B,'Stock In'!$G:$G)</f>
        <v>0</v>
      </c>
    </row>
    <row r="495" spans="2:4">
      <c r="B495" s="2" t="s">
        <v>1253</v>
      </c>
      <c r="C495" t="s">
        <v>1254</v>
      </c>
      <c r="D495" s="4">
        <f>SUMIF('Stock In'!$C:$C,B:B,'Stock In'!$G:$G)</f>
        <v>0</v>
      </c>
    </row>
    <row r="496" spans="2:4">
      <c r="B496" s="2" t="s">
        <v>1255</v>
      </c>
      <c r="C496" t="s">
        <v>1256</v>
      </c>
      <c r="D496" s="4">
        <f>SUMIF('Stock In'!$C:$C,B:B,'Stock In'!$G:$G)</f>
        <v>0</v>
      </c>
    </row>
    <row r="497" spans="2:4">
      <c r="B497" s="2" t="s">
        <v>1257</v>
      </c>
      <c r="C497" t="s">
        <v>1258</v>
      </c>
      <c r="D497" s="4">
        <f>SUMIF('Stock In'!$C:$C,B:B,'Stock In'!$G:$G)</f>
        <v>0</v>
      </c>
    </row>
    <row r="498" spans="2:4">
      <c r="B498" s="2" t="s">
        <v>1259</v>
      </c>
      <c r="C498" t="s">
        <v>1260</v>
      </c>
      <c r="D498" s="4">
        <f>SUMIF('Stock In'!$C:$C,B:B,'Stock In'!$G:$G)</f>
        <v>0</v>
      </c>
    </row>
    <row r="499" spans="2:4">
      <c r="B499" s="2" t="s">
        <v>1261</v>
      </c>
      <c r="C499" t="s">
        <v>1262</v>
      </c>
      <c r="D499" s="4">
        <f>SUMIF('Stock In'!$C:$C,B:B,'Stock In'!$G:$G)</f>
        <v>0</v>
      </c>
    </row>
    <row r="500" spans="2:4">
      <c r="B500" s="2" t="s">
        <v>1263</v>
      </c>
      <c r="C500" t="s">
        <v>1264</v>
      </c>
      <c r="D500" s="4">
        <f>SUMIF('Stock In'!$C:$C,B:B,'Stock In'!$G:$G)</f>
        <v>0</v>
      </c>
    </row>
    <row r="501" spans="2:4">
      <c r="B501" s="2" t="s">
        <v>1265</v>
      </c>
      <c r="C501" t="s">
        <v>1266</v>
      </c>
      <c r="D501" s="4">
        <f>SUMIF('Stock In'!$C:$C,B:B,'Stock In'!$G:$G)</f>
        <v>0</v>
      </c>
    </row>
    <row r="502" spans="2:4">
      <c r="B502" s="2" t="s">
        <v>1267</v>
      </c>
      <c r="C502" t="s">
        <v>1268</v>
      </c>
      <c r="D502" s="4">
        <f>SUMIF('Stock In'!$C:$C,B:B,'Stock In'!$G:$G)</f>
        <v>0</v>
      </c>
    </row>
    <row r="503" spans="2:4">
      <c r="B503" s="2" t="s">
        <v>1269</v>
      </c>
      <c r="C503" t="s">
        <v>1270</v>
      </c>
      <c r="D503" s="4">
        <f>SUMIF('Stock In'!$C:$C,B:B,'Stock In'!$G:$G)</f>
        <v>0</v>
      </c>
    </row>
    <row r="504" spans="2:4">
      <c r="B504" s="2" t="s">
        <v>1271</v>
      </c>
      <c r="C504" t="s">
        <v>1272</v>
      </c>
      <c r="D504" s="4">
        <f>SUMIF('Stock In'!$C:$C,B:B,'Stock In'!$G:$G)</f>
        <v>0</v>
      </c>
    </row>
    <row r="505" spans="2:4">
      <c r="B505" s="2" t="s">
        <v>7</v>
      </c>
      <c r="C505" t="s">
        <v>8</v>
      </c>
      <c r="D505" s="4">
        <f>SUMIF('Stock In'!$C:$C,B:B,'Stock In'!$G:$G)</f>
        <v>0</v>
      </c>
    </row>
    <row r="506" spans="2:4">
      <c r="B506" s="2" t="s">
        <v>1273</v>
      </c>
      <c r="C506" t="s">
        <v>1274</v>
      </c>
      <c r="D506" s="4">
        <f>SUMIF('Stock In'!$C:$C,B:B,'Stock In'!$G:$G)</f>
        <v>0</v>
      </c>
    </row>
    <row r="507" spans="2:4">
      <c r="B507" s="2" t="s">
        <v>1275</v>
      </c>
      <c r="C507" t="s">
        <v>1276</v>
      </c>
      <c r="D507" s="4">
        <f>SUMIF('Stock In'!$C:$C,B:B,'Stock In'!$G:$G)</f>
        <v>0</v>
      </c>
    </row>
    <row r="508" spans="2:4">
      <c r="B508" s="2" t="s">
        <v>1277</v>
      </c>
      <c r="C508" t="s">
        <v>1278</v>
      </c>
      <c r="D508" s="4">
        <f>SUMIF('Stock In'!$C:$C,B:B,'Stock In'!$G:$G)</f>
        <v>0</v>
      </c>
    </row>
    <row r="509" spans="2:4">
      <c r="B509" s="2" t="s">
        <v>1279</v>
      </c>
      <c r="C509" t="s">
        <v>1280</v>
      </c>
      <c r="D509" s="4">
        <f>SUMIF('Stock In'!$C:$C,B:B,'Stock In'!$G:$G)</f>
        <v>0</v>
      </c>
    </row>
    <row r="510" spans="2:4">
      <c r="B510" s="2" t="s">
        <v>1281</v>
      </c>
      <c r="C510" t="s">
        <v>1282</v>
      </c>
      <c r="D510" s="4">
        <f>SUMIF('Stock In'!$C:$C,B:B,'Stock In'!$G:$G)</f>
        <v>0</v>
      </c>
    </row>
    <row r="511" spans="2:4">
      <c r="B511" s="2" t="s">
        <v>1283</v>
      </c>
      <c r="C511" t="s">
        <v>1284</v>
      </c>
      <c r="D511" s="4">
        <f>SUMIF('Stock In'!$C:$C,B:B,'Stock In'!$G:$G)</f>
        <v>0</v>
      </c>
    </row>
    <row r="512" spans="2:4">
      <c r="B512" s="2" t="s">
        <v>9</v>
      </c>
      <c r="C512" t="s">
        <v>10</v>
      </c>
      <c r="D512" s="4">
        <f>SUMIF('Stock In'!$C:$C,B:B,'Stock In'!$G:$G)</f>
        <v>0</v>
      </c>
    </row>
    <row r="513" spans="2:4">
      <c r="B513" s="2" t="s">
        <v>1285</v>
      </c>
      <c r="C513" t="s">
        <v>1286</v>
      </c>
      <c r="D513" s="4">
        <f>SUMIF('Stock In'!$C:$C,B:B,'Stock In'!$G:$G)</f>
        <v>0</v>
      </c>
    </row>
    <row r="514" spans="2:4">
      <c r="B514" s="2" t="s">
        <v>1287</v>
      </c>
      <c r="C514" t="s">
        <v>1288</v>
      </c>
      <c r="D514" s="4">
        <f>SUMIF('Stock In'!$C:$C,B:B,'Stock In'!$G:$G)</f>
        <v>0</v>
      </c>
    </row>
    <row r="515" spans="2:4">
      <c r="B515" s="2" t="s">
        <v>1289</v>
      </c>
      <c r="C515" t="s">
        <v>1290</v>
      </c>
      <c r="D515" s="4">
        <f>SUMIF('Stock In'!$C:$C,B:B,'Stock In'!$G:$G)</f>
        <v>0</v>
      </c>
    </row>
    <row r="516" spans="2:4">
      <c r="B516" s="2" t="s">
        <v>1291</v>
      </c>
      <c r="C516" t="s">
        <v>1292</v>
      </c>
      <c r="D516" s="4">
        <f>SUMIF('Stock In'!$C:$C,B:B,'Stock In'!$G:$G)</f>
        <v>0</v>
      </c>
    </row>
    <row r="517" spans="2:4">
      <c r="B517" s="2" t="s">
        <v>1293</v>
      </c>
      <c r="C517" t="s">
        <v>1294</v>
      </c>
      <c r="D517" s="4">
        <f>SUMIF('Stock In'!$C:$C,B:B,'Stock In'!$G:$G)</f>
        <v>0</v>
      </c>
    </row>
    <row r="518" spans="2:4">
      <c r="B518" s="2" t="s">
        <v>1295</v>
      </c>
      <c r="C518" t="s">
        <v>1296</v>
      </c>
      <c r="D518" s="4">
        <f>SUMIF('Stock In'!$C:$C,B:B,'Stock In'!$G:$G)</f>
        <v>0</v>
      </c>
    </row>
    <row r="519" spans="2:4">
      <c r="B519" s="2" t="s">
        <v>1297</v>
      </c>
      <c r="C519" t="s">
        <v>1298</v>
      </c>
      <c r="D519" s="4">
        <f>SUMIF('Stock In'!$C:$C,B:B,'Stock In'!$G:$G)</f>
        <v>0</v>
      </c>
    </row>
    <row r="520" spans="2:4">
      <c r="B520" s="2" t="s">
        <v>1299</v>
      </c>
      <c r="C520" t="s">
        <v>1300</v>
      </c>
      <c r="D520" s="4">
        <f>SUMIF('Stock In'!$C:$C,B:B,'Stock In'!$G:$G)</f>
        <v>0</v>
      </c>
    </row>
    <row r="521" spans="2:4">
      <c r="B521" s="2" t="s">
        <v>1301</v>
      </c>
      <c r="C521" t="s">
        <v>1302</v>
      </c>
      <c r="D521" s="4">
        <f>SUMIF('Stock In'!$C:$C,B:B,'Stock In'!$G:$G)</f>
        <v>0</v>
      </c>
    </row>
    <row r="522" spans="2:4">
      <c r="B522" s="2" t="s">
        <v>1303</v>
      </c>
      <c r="C522" t="s">
        <v>1304</v>
      </c>
      <c r="D522" s="4">
        <f>SUMIF('Stock In'!$C:$C,B:B,'Stock In'!$G:$G)</f>
        <v>0</v>
      </c>
    </row>
    <row r="523" spans="2:4">
      <c r="B523" s="2" t="s">
        <v>1305</v>
      </c>
      <c r="C523" t="s">
        <v>1306</v>
      </c>
      <c r="D523" s="4">
        <f>SUMIF('Stock In'!$C:$C,B:B,'Stock In'!$G:$G)</f>
        <v>0</v>
      </c>
    </row>
    <row r="524" spans="2:4">
      <c r="B524" s="2" t="s">
        <v>1307</v>
      </c>
      <c r="C524" t="s">
        <v>1308</v>
      </c>
      <c r="D524" s="4">
        <f>SUMIF('Stock In'!$C:$C,B:B,'Stock In'!$G:$G)</f>
        <v>0</v>
      </c>
    </row>
    <row r="525" spans="2:4">
      <c r="B525" s="2" t="s">
        <v>1309</v>
      </c>
      <c r="C525" t="s">
        <v>1310</v>
      </c>
      <c r="D525" s="4">
        <f>SUMIF('Stock In'!$C:$C,B:B,'Stock In'!$G:$G)</f>
        <v>0</v>
      </c>
    </row>
    <row r="526" spans="2:4">
      <c r="B526" s="2" t="s">
        <v>1311</v>
      </c>
      <c r="C526" t="s">
        <v>1312</v>
      </c>
      <c r="D526" s="4">
        <f>SUMIF('Stock In'!$C:$C,B:B,'Stock In'!$G:$G)</f>
        <v>0</v>
      </c>
    </row>
    <row r="527" spans="2:4">
      <c r="B527" s="2" t="s">
        <v>1313</v>
      </c>
      <c r="C527" t="s">
        <v>1314</v>
      </c>
      <c r="D527" s="4">
        <f>SUMIF('Stock In'!$C:$C,B:B,'Stock In'!$G:$G)</f>
        <v>0</v>
      </c>
    </row>
    <row r="528" spans="2:4">
      <c r="B528" s="2" t="s">
        <v>1315</v>
      </c>
      <c r="C528" t="s">
        <v>1316</v>
      </c>
      <c r="D528" s="4">
        <f>SUMIF('Stock In'!$C:$C,B:B,'Stock In'!$G:$G)</f>
        <v>0</v>
      </c>
    </row>
    <row r="529" spans="2:4">
      <c r="B529" s="2" t="s">
        <v>1317</v>
      </c>
      <c r="C529" t="s">
        <v>1318</v>
      </c>
      <c r="D529" s="4">
        <f>SUMIF('Stock In'!$C:$C,B:B,'Stock In'!$G:$G)</f>
        <v>0</v>
      </c>
    </row>
    <row r="530" spans="2:4">
      <c r="B530" s="2" t="s">
        <v>1319</v>
      </c>
      <c r="C530" t="s">
        <v>1320</v>
      </c>
      <c r="D530" s="4">
        <f>SUMIF('Stock In'!$C:$C,B:B,'Stock In'!$G:$G)</f>
        <v>0</v>
      </c>
    </row>
    <row r="531" spans="2:4">
      <c r="B531" s="2" t="s">
        <v>1321</v>
      </c>
      <c r="C531" t="s">
        <v>1322</v>
      </c>
      <c r="D531" s="4">
        <f>SUMIF('Stock In'!$C:$C,B:B,'Stock In'!$G:$G)</f>
        <v>0</v>
      </c>
    </row>
    <row r="532" spans="2:4">
      <c r="B532" s="2" t="s">
        <v>1323</v>
      </c>
      <c r="C532" t="s">
        <v>1324</v>
      </c>
      <c r="D532" s="4">
        <f>SUMIF('Stock In'!$C:$C,B:B,'Stock In'!$G:$G)</f>
        <v>0</v>
      </c>
    </row>
    <row r="533" spans="2:4">
      <c r="B533" s="2" t="s">
        <v>1325</v>
      </c>
      <c r="C533" t="s">
        <v>1326</v>
      </c>
      <c r="D533" s="4">
        <f>SUMIF('Stock In'!$C:$C,B:B,'Stock In'!$G:$G)</f>
        <v>0</v>
      </c>
    </row>
    <row r="534" spans="2:4">
      <c r="B534" s="2" t="s">
        <v>1327</v>
      </c>
      <c r="C534" t="s">
        <v>1328</v>
      </c>
      <c r="D534" s="4">
        <f>SUMIF('Stock In'!$C:$C,B:B,'Stock In'!$G:$G)</f>
        <v>0</v>
      </c>
    </row>
    <row r="535" spans="2:4">
      <c r="B535" s="2" t="s">
        <v>1329</v>
      </c>
      <c r="C535" t="s">
        <v>1330</v>
      </c>
      <c r="D535" s="4">
        <f>SUMIF('Stock In'!$C:$C,B:B,'Stock In'!$G:$G)</f>
        <v>0</v>
      </c>
    </row>
    <row r="536" spans="2:4">
      <c r="B536" s="2" t="s">
        <v>1331</v>
      </c>
      <c r="C536" t="s">
        <v>1332</v>
      </c>
      <c r="D536" s="4">
        <f>SUMIF('Stock In'!$C:$C,B:B,'Stock In'!$G:$G)</f>
        <v>0</v>
      </c>
    </row>
    <row r="537" spans="2:4">
      <c r="B537" s="2" t="s">
        <v>1333</v>
      </c>
      <c r="C537" t="s">
        <v>1334</v>
      </c>
      <c r="D537" s="4">
        <f>SUMIF('Stock In'!$C:$C,B:B,'Stock In'!$G:$G)</f>
        <v>0</v>
      </c>
    </row>
    <row r="538" spans="2:4">
      <c r="B538" s="2" t="s">
        <v>1335</v>
      </c>
      <c r="C538" t="s">
        <v>1336</v>
      </c>
      <c r="D538" s="4">
        <f>SUMIF('Stock In'!$C:$C,B:B,'Stock In'!$G:$G)</f>
        <v>0</v>
      </c>
    </row>
    <row r="539" spans="2:4">
      <c r="B539" s="2" t="s">
        <v>1337</v>
      </c>
      <c r="C539" t="s">
        <v>1338</v>
      </c>
      <c r="D539" s="4">
        <f>SUMIF('Stock In'!$C:$C,B:B,'Stock In'!$G:$G)</f>
        <v>0</v>
      </c>
    </row>
    <row r="540" spans="2:4">
      <c r="B540" s="2" t="s">
        <v>1339</v>
      </c>
      <c r="C540" t="s">
        <v>1340</v>
      </c>
      <c r="D540" s="4">
        <f>SUMIF('Stock In'!$C:$C,B:B,'Stock In'!$G:$G)</f>
        <v>0</v>
      </c>
    </row>
    <row r="541" spans="2:4">
      <c r="B541" s="2" t="s">
        <v>1341</v>
      </c>
      <c r="C541" t="s">
        <v>1342</v>
      </c>
      <c r="D541" s="4">
        <f>SUMIF('Stock In'!$C:$C,B:B,'Stock In'!$G:$G)</f>
        <v>0</v>
      </c>
    </row>
    <row r="542" spans="2:4">
      <c r="B542" s="2" t="s">
        <v>1343</v>
      </c>
      <c r="C542" t="s">
        <v>1344</v>
      </c>
      <c r="D542" s="4">
        <f>SUMIF('Stock In'!$C:$C,B:B,'Stock In'!$G:$G)</f>
        <v>0</v>
      </c>
    </row>
    <row r="543" spans="2:4">
      <c r="B543" s="2" t="s">
        <v>1345</v>
      </c>
      <c r="C543" t="s">
        <v>1346</v>
      </c>
      <c r="D543" s="4">
        <f>SUMIF('Stock In'!$C:$C,B:B,'Stock In'!$G:$G)</f>
        <v>0</v>
      </c>
    </row>
    <row r="544" spans="2:4">
      <c r="B544" s="2" t="s">
        <v>49</v>
      </c>
      <c r="C544" t="s">
        <v>50</v>
      </c>
      <c r="D544" s="4">
        <f>SUMIF('Stock In'!$C:$C,B:B,'Stock In'!$G:$G)</f>
        <v>0</v>
      </c>
    </row>
    <row r="545" spans="2:4">
      <c r="B545" s="2" t="s">
        <v>281</v>
      </c>
      <c r="C545" t="s">
        <v>282</v>
      </c>
      <c r="D545" s="4">
        <f>SUMIF('Stock In'!$C:$C,B:B,'Stock In'!$G:$G)</f>
        <v>0</v>
      </c>
    </row>
    <row r="546" spans="2:4">
      <c r="B546" s="2" t="s">
        <v>409</v>
      </c>
      <c r="C546" t="s">
        <v>410</v>
      </c>
      <c r="D546" s="4">
        <f>SUMIF('Stock In'!$C:$C,B:B,'Stock In'!$G:$G)</f>
        <v>0</v>
      </c>
    </row>
    <row r="547" spans="2:4">
      <c r="B547" s="2" t="s">
        <v>283</v>
      </c>
      <c r="C547" t="s">
        <v>284</v>
      </c>
      <c r="D547" s="4">
        <f>SUMIF('Stock In'!$C:$C,B:B,'Stock In'!$G:$G)</f>
        <v>0</v>
      </c>
    </row>
    <row r="548" spans="2:4">
      <c r="B548" s="2" t="s">
        <v>397</v>
      </c>
      <c r="C548" t="s">
        <v>398</v>
      </c>
      <c r="D548" s="4">
        <f>SUMIF('Stock In'!$C:$C,B:B,'Stock In'!$G:$G)</f>
        <v>0</v>
      </c>
    </row>
    <row r="549" spans="2:4">
      <c r="B549" s="2" t="s">
        <v>1347</v>
      </c>
      <c r="C549" t="s">
        <v>1348</v>
      </c>
      <c r="D549" s="4">
        <f>SUMIF('Stock In'!$C:$C,B:B,'Stock In'!$G:$G)</f>
        <v>0</v>
      </c>
    </row>
    <row r="550" spans="2:4">
      <c r="B550" s="2" t="s">
        <v>407</v>
      </c>
      <c r="C550" t="s">
        <v>408</v>
      </c>
      <c r="D550" s="4">
        <f>SUMIF('Stock In'!$C:$C,B:B,'Stock In'!$G:$G)</f>
        <v>0</v>
      </c>
    </row>
    <row r="551" spans="2:4">
      <c r="B551" s="2" t="s">
        <v>51</v>
      </c>
      <c r="C551" t="s">
        <v>52</v>
      </c>
      <c r="D551" s="4">
        <f>SUMIF('Stock In'!$C:$C,B:B,'Stock In'!$G:$G)</f>
        <v>0</v>
      </c>
    </row>
    <row r="552" spans="2:4">
      <c r="B552" s="2" t="s">
        <v>53</v>
      </c>
      <c r="C552" t="s">
        <v>54</v>
      </c>
      <c r="D552" s="4">
        <f>SUMIF('Stock In'!$C:$C,B:B,'Stock In'!$G:$G)</f>
        <v>1000</v>
      </c>
    </row>
    <row r="553" spans="2:4">
      <c r="B553" s="2" t="s">
        <v>285</v>
      </c>
      <c r="C553" t="s">
        <v>286</v>
      </c>
      <c r="D553" s="4">
        <f>SUMIF('Stock In'!$C:$C,B:B,'Stock In'!$G:$G)</f>
        <v>0</v>
      </c>
    </row>
    <row r="554" spans="2:4">
      <c r="B554" s="2" t="s">
        <v>287</v>
      </c>
      <c r="C554" t="s">
        <v>288</v>
      </c>
      <c r="D554" s="4">
        <f>SUMIF('Stock In'!$C:$C,B:B,'Stock In'!$G:$G)</f>
        <v>0</v>
      </c>
    </row>
    <row r="555" spans="2:4">
      <c r="B555" s="2" t="s">
        <v>399</v>
      </c>
      <c r="C555" t="s">
        <v>400</v>
      </c>
      <c r="D555" s="4">
        <f>SUMIF('Stock In'!$C:$C,B:B,'Stock In'!$G:$G)</f>
        <v>0</v>
      </c>
    </row>
    <row r="556" spans="2:4">
      <c r="B556" s="2" t="s">
        <v>55</v>
      </c>
      <c r="C556" t="s">
        <v>56</v>
      </c>
      <c r="D556" s="4">
        <f>SUMIF('Stock In'!$C:$C,B:B,'Stock In'!$G:$G)</f>
        <v>0</v>
      </c>
    </row>
    <row r="557" spans="2:4">
      <c r="B557" s="2" t="s">
        <v>57</v>
      </c>
      <c r="C557" t="s">
        <v>58</v>
      </c>
      <c r="D557" s="4">
        <f>SUMIF('Stock In'!$C:$C,B:B,'Stock In'!$G:$G)</f>
        <v>0</v>
      </c>
    </row>
    <row r="558" spans="2:4">
      <c r="B558" s="2" t="s">
        <v>59</v>
      </c>
      <c r="C558" t="s">
        <v>60</v>
      </c>
      <c r="D558" s="4">
        <f>SUMIF('Stock In'!$C:$C,B:B,'Stock In'!$G:$G)</f>
        <v>0</v>
      </c>
    </row>
    <row r="559" spans="2:4">
      <c r="B559" s="2" t="s">
        <v>1349</v>
      </c>
      <c r="C559" t="s">
        <v>1350</v>
      </c>
      <c r="D559" s="4">
        <f>SUMIF('Stock In'!$C:$C,B:B,'Stock In'!$G:$G)</f>
        <v>0</v>
      </c>
    </row>
    <row r="560" spans="2:4">
      <c r="B560" s="2" t="s">
        <v>1351</v>
      </c>
      <c r="C560" t="s">
        <v>1352</v>
      </c>
      <c r="D560" s="4">
        <f>SUMIF('Stock In'!$C:$C,B:B,'Stock In'!$G:$G)</f>
        <v>0</v>
      </c>
    </row>
    <row r="561" spans="2:4">
      <c r="B561" s="2" t="s">
        <v>61</v>
      </c>
      <c r="C561" t="s">
        <v>62</v>
      </c>
      <c r="D561" s="4">
        <f>SUMIF('Stock In'!$C:$C,B:B,'Stock In'!$G:$G)</f>
        <v>0</v>
      </c>
    </row>
    <row r="562" spans="2:4">
      <c r="B562" s="2" t="s">
        <v>63</v>
      </c>
      <c r="C562" t="s">
        <v>64</v>
      </c>
      <c r="D562" s="4">
        <f>SUMIF('Stock In'!$C:$C,B:B,'Stock In'!$G:$G)</f>
        <v>0</v>
      </c>
    </row>
    <row r="563" spans="2:4">
      <c r="B563" s="2" t="s">
        <v>65</v>
      </c>
      <c r="C563" t="s">
        <v>66</v>
      </c>
      <c r="D563" s="4">
        <f>SUMIF('Stock In'!$C:$C,B:B,'Stock In'!$G:$G)</f>
        <v>0</v>
      </c>
    </row>
    <row r="564" spans="2:4">
      <c r="B564" s="2" t="s">
        <v>67</v>
      </c>
      <c r="C564" t="s">
        <v>68</v>
      </c>
      <c r="D564" s="4">
        <f>SUMIF('Stock In'!$C:$C,B:B,'Stock In'!$G:$G)</f>
        <v>0</v>
      </c>
    </row>
    <row r="565" spans="2:4">
      <c r="B565" s="2" t="s">
        <v>69</v>
      </c>
      <c r="C565" t="s">
        <v>70</v>
      </c>
      <c r="D565" s="4">
        <f>SUMIF('Stock In'!$C:$C,B:B,'Stock In'!$G:$G)</f>
        <v>0</v>
      </c>
    </row>
    <row r="566" spans="2:4">
      <c r="B566" s="2" t="s">
        <v>71</v>
      </c>
      <c r="C566" t="s">
        <v>72</v>
      </c>
      <c r="D566" s="4">
        <f>SUMIF('Stock In'!$C:$C,B:B,'Stock In'!$G:$G)</f>
        <v>0</v>
      </c>
    </row>
    <row r="567" spans="2:4">
      <c r="B567" s="2" t="s">
        <v>73</v>
      </c>
      <c r="C567" t="s">
        <v>74</v>
      </c>
      <c r="D567" s="4">
        <f>SUMIF('Stock In'!$C:$C,B:B,'Stock In'!$G:$G)</f>
        <v>0</v>
      </c>
    </row>
    <row r="568" spans="2:4">
      <c r="B568" s="2" t="s">
        <v>422</v>
      </c>
      <c r="C568" t="s">
        <v>459</v>
      </c>
      <c r="D568" s="4">
        <f>SUMIF('Stock In'!$C:$C,B:B,'Stock In'!$G:$G)</f>
        <v>0</v>
      </c>
    </row>
    <row r="569" spans="2:4">
      <c r="B569" s="2" t="s">
        <v>430</v>
      </c>
      <c r="C569" t="s">
        <v>467</v>
      </c>
      <c r="D569" s="4">
        <f>SUMIF('Stock In'!$C:$C,B:B,'Stock In'!$G:$G)</f>
        <v>0</v>
      </c>
    </row>
    <row r="570" spans="2:4">
      <c r="B570" s="2" t="s">
        <v>431</v>
      </c>
      <c r="C570" t="s">
        <v>468</v>
      </c>
      <c r="D570" s="4">
        <f>SUMIF('Stock In'!$C:$C,B:B,'Stock In'!$G:$G)</f>
        <v>0</v>
      </c>
    </row>
    <row r="571" spans="2:4">
      <c r="B571" s="2" t="s">
        <v>75</v>
      </c>
      <c r="C571" t="s">
        <v>76</v>
      </c>
      <c r="D571" s="4">
        <f>SUMIF('Stock In'!$C:$C,B:B,'Stock In'!$G:$G)</f>
        <v>0</v>
      </c>
    </row>
    <row r="572" spans="2:4">
      <c r="B572" s="2" t="s">
        <v>427</v>
      </c>
      <c r="C572" t="s">
        <v>464</v>
      </c>
      <c r="D572" s="4">
        <f>SUMIF('Stock In'!$C:$C,B:B,'Stock In'!$G:$G)</f>
        <v>0</v>
      </c>
    </row>
    <row r="573" spans="2:4">
      <c r="B573" s="2" t="s">
        <v>424</v>
      </c>
      <c r="C573" t="s">
        <v>461</v>
      </c>
      <c r="D573" s="4">
        <f>SUMIF('Stock In'!$C:$C,B:B,'Stock In'!$G:$G)</f>
        <v>0</v>
      </c>
    </row>
    <row r="574" spans="2:4">
      <c r="B574" s="2" t="s">
        <v>77</v>
      </c>
      <c r="C574" t="s">
        <v>78</v>
      </c>
      <c r="D574" s="4">
        <f>SUMIF('Stock In'!$C:$C,B:B,'Stock In'!$G:$G)</f>
        <v>0</v>
      </c>
    </row>
    <row r="575" spans="2:4">
      <c r="B575" s="2" t="s">
        <v>425</v>
      </c>
      <c r="C575" t="s">
        <v>462</v>
      </c>
      <c r="D575" s="4">
        <f>SUMIF('Stock In'!$C:$C,B:B,'Stock In'!$G:$G)</f>
        <v>0</v>
      </c>
    </row>
    <row r="576" spans="2:4">
      <c r="B576" s="2" t="s">
        <v>1353</v>
      </c>
      <c r="C576" t="s">
        <v>1354</v>
      </c>
      <c r="D576" s="4">
        <f>SUMIF('Stock In'!$C:$C,B:B,'Stock In'!$G:$G)</f>
        <v>0</v>
      </c>
    </row>
    <row r="577" spans="2:4">
      <c r="B577" s="2" t="s">
        <v>1355</v>
      </c>
      <c r="C577" t="s">
        <v>1356</v>
      </c>
      <c r="D577" s="4">
        <f>SUMIF('Stock In'!$C:$C,B:B,'Stock In'!$G:$G)</f>
        <v>0</v>
      </c>
    </row>
    <row r="578" spans="2:4">
      <c r="B578" s="2" t="s">
        <v>79</v>
      </c>
      <c r="C578" t="s">
        <v>80</v>
      </c>
      <c r="D578" s="4">
        <f>SUMIF('Stock In'!$C:$C,B:B,'Stock In'!$G:$G)</f>
        <v>0</v>
      </c>
    </row>
    <row r="579" spans="2:4">
      <c r="B579" s="2" t="s">
        <v>81</v>
      </c>
      <c r="C579" t="s">
        <v>82</v>
      </c>
      <c r="D579" s="4">
        <f>SUMIF('Stock In'!$C:$C,B:B,'Stock In'!$G:$G)</f>
        <v>0</v>
      </c>
    </row>
    <row r="580" spans="2:4">
      <c r="B580" s="2" t="s">
        <v>83</v>
      </c>
      <c r="C580" t="s">
        <v>84</v>
      </c>
      <c r="D580" s="4">
        <f>SUMIF('Stock In'!$C:$C,B:B,'Stock In'!$G:$G)</f>
        <v>0</v>
      </c>
    </row>
    <row r="581" spans="2:4">
      <c r="B581" s="2" t="s">
        <v>85</v>
      </c>
      <c r="C581" t="s">
        <v>86</v>
      </c>
      <c r="D581" s="4">
        <f>SUMIF('Stock In'!$C:$C,B:B,'Stock In'!$G:$G)</f>
        <v>0</v>
      </c>
    </row>
    <row r="582" spans="2:4">
      <c r="B582" s="2" t="s">
        <v>423</v>
      </c>
      <c r="C582" t="s">
        <v>460</v>
      </c>
      <c r="D582" s="4">
        <f>SUMIF('Stock In'!$C:$C,B:B,'Stock In'!$G:$G)</f>
        <v>0</v>
      </c>
    </row>
    <row r="583" spans="2:4">
      <c r="B583" s="2" t="s">
        <v>1357</v>
      </c>
      <c r="C583" t="s">
        <v>1358</v>
      </c>
      <c r="D583" s="4">
        <f>SUMIF('Stock In'!$C:$C,B:B,'Stock In'!$G:$G)</f>
        <v>0</v>
      </c>
    </row>
    <row r="584" spans="2:4">
      <c r="B584" s="2" t="s">
        <v>1359</v>
      </c>
      <c r="C584" t="s">
        <v>1360</v>
      </c>
      <c r="D584" s="4">
        <f>SUMIF('Stock In'!$C:$C,B:B,'Stock In'!$G:$G)</f>
        <v>0</v>
      </c>
    </row>
    <row r="585" spans="2:4">
      <c r="B585" s="2" t="s">
        <v>87</v>
      </c>
      <c r="C585" t="s">
        <v>88</v>
      </c>
      <c r="D585" s="4">
        <f>SUMIF('Stock In'!$C:$C,B:B,'Stock In'!$G:$G)</f>
        <v>0</v>
      </c>
    </row>
    <row r="586" spans="2:4">
      <c r="B586" s="2" t="s">
        <v>89</v>
      </c>
      <c r="C586" t="s">
        <v>90</v>
      </c>
      <c r="D586" s="4">
        <f>SUMIF('Stock In'!$C:$C,B:B,'Stock In'!$G:$G)</f>
        <v>0</v>
      </c>
    </row>
    <row r="587" spans="2:4">
      <c r="B587" s="2" t="s">
        <v>401</v>
      </c>
      <c r="C587" t="s">
        <v>402</v>
      </c>
      <c r="D587" s="4">
        <f>SUMIF('Stock In'!$C:$C,B:B,'Stock In'!$G:$G)</f>
        <v>0</v>
      </c>
    </row>
    <row r="588" spans="2:4">
      <c r="B588" s="2" t="s">
        <v>289</v>
      </c>
      <c r="C588" t="s">
        <v>290</v>
      </c>
      <c r="D588" s="4">
        <f>SUMIF('Stock In'!$C:$C,B:B,'Stock In'!$G:$G)</f>
        <v>0</v>
      </c>
    </row>
    <row r="589" spans="2:4">
      <c r="B589" s="2" t="s">
        <v>405</v>
      </c>
      <c r="C589" t="s">
        <v>406</v>
      </c>
      <c r="D589" s="4">
        <f>SUMIF('Stock In'!$C:$C,B:B,'Stock In'!$G:$G)</f>
        <v>0</v>
      </c>
    </row>
    <row r="590" spans="2:4">
      <c r="B590" s="2" t="s">
        <v>421</v>
      </c>
      <c r="C590" t="s">
        <v>458</v>
      </c>
      <c r="D590" s="4">
        <f>SUMIF('Stock In'!$C:$C,B:B,'Stock In'!$G:$G)</f>
        <v>0</v>
      </c>
    </row>
    <row r="591" spans="2:4">
      <c r="B591" s="2" t="s">
        <v>403</v>
      </c>
      <c r="C591" t="s">
        <v>404</v>
      </c>
      <c r="D591" s="4">
        <f>SUMIF('Stock In'!$C:$C,B:B,'Stock In'!$G:$G)</f>
        <v>0</v>
      </c>
    </row>
    <row r="592" spans="2:4">
      <c r="B592" s="2" t="s">
        <v>355</v>
      </c>
      <c r="C592" t="s">
        <v>356</v>
      </c>
      <c r="D592" s="4">
        <f>SUMIF('Stock In'!$C:$C,B:B,'Stock In'!$G:$G)</f>
        <v>0</v>
      </c>
    </row>
    <row r="593" spans="2:4">
      <c r="B593" s="2" t="s">
        <v>257</v>
      </c>
      <c r="C593" t="s">
        <v>258</v>
      </c>
      <c r="D593" s="4">
        <f>SUMIF('Stock In'!$C:$C,B:B,'Stock In'!$G:$G)</f>
        <v>0</v>
      </c>
    </row>
    <row r="594" spans="2:4">
      <c r="B594" s="2" t="s">
        <v>1361</v>
      </c>
      <c r="C594" t="s">
        <v>1362</v>
      </c>
      <c r="D594" s="4">
        <f>SUMIF('Stock In'!$C:$C,B:B,'Stock In'!$G:$G)</f>
        <v>0</v>
      </c>
    </row>
    <row r="595" spans="2:4">
      <c r="B595" s="2" t="s">
        <v>1363</v>
      </c>
      <c r="C595" t="s">
        <v>1364</v>
      </c>
      <c r="D595" s="4">
        <f>SUMIF('Stock In'!$C:$C,B:B,'Stock In'!$G:$G)</f>
        <v>0</v>
      </c>
    </row>
    <row r="596" spans="2:4">
      <c r="B596" s="2" t="s">
        <v>1365</v>
      </c>
      <c r="C596" t="s">
        <v>1366</v>
      </c>
      <c r="D596" s="4">
        <f>SUMIF('Stock In'!$C:$C,B:B,'Stock In'!$G:$G)</f>
        <v>0</v>
      </c>
    </row>
    <row r="597" spans="2:4">
      <c r="B597" s="2" t="s">
        <v>1367</v>
      </c>
      <c r="C597" t="s">
        <v>1368</v>
      </c>
      <c r="D597" s="4">
        <f>SUMIF('Stock In'!$C:$C,B:B,'Stock In'!$G:$G)</f>
        <v>0</v>
      </c>
    </row>
    <row r="598" spans="2:4">
      <c r="B598" s="2" t="s">
        <v>259</v>
      </c>
      <c r="C598" t="s">
        <v>260</v>
      </c>
      <c r="D598" s="4">
        <f>SUMIF('Stock In'!$C:$C,B:B,'Stock In'!$G:$G)</f>
        <v>0</v>
      </c>
    </row>
    <row r="599" spans="2:4">
      <c r="B599" s="2" t="s">
        <v>438</v>
      </c>
      <c r="C599" t="s">
        <v>475</v>
      </c>
      <c r="D599" s="4">
        <f>SUMIF('Stock In'!$C:$C,B:B,'Stock In'!$G:$G)</f>
        <v>0</v>
      </c>
    </row>
    <row r="600" spans="2:4">
      <c r="B600" s="2" t="s">
        <v>261</v>
      </c>
      <c r="C600" t="s">
        <v>262</v>
      </c>
      <c r="D600" s="4">
        <f>SUMIF('Stock In'!$C:$C,B:B,'Stock In'!$G:$G)</f>
        <v>0</v>
      </c>
    </row>
    <row r="601" spans="2:4">
      <c r="B601" s="2" t="s">
        <v>434</v>
      </c>
      <c r="C601" t="s">
        <v>471</v>
      </c>
      <c r="D601" s="4">
        <f>SUMIF('Stock In'!$C:$C,B:B,'Stock In'!$G:$G)</f>
        <v>0</v>
      </c>
    </row>
    <row r="602" spans="2:4">
      <c r="B602" s="2" t="s">
        <v>1369</v>
      </c>
      <c r="C602" t="s">
        <v>1370</v>
      </c>
      <c r="D602" s="4">
        <f>SUMIF('Stock In'!$C:$C,B:B,'Stock In'!$G:$G)</f>
        <v>0</v>
      </c>
    </row>
    <row r="603" spans="2:4">
      <c r="B603" s="2" t="s">
        <v>1371</v>
      </c>
      <c r="C603" t="s">
        <v>1372</v>
      </c>
      <c r="D603" s="4">
        <f>SUMIF('Stock In'!$C:$C,B:B,'Stock In'!$G:$G)</f>
        <v>0</v>
      </c>
    </row>
    <row r="604" spans="2:4">
      <c r="B604" s="2" t="s">
        <v>263</v>
      </c>
      <c r="C604" t="s">
        <v>264</v>
      </c>
      <c r="D604" s="4">
        <f>SUMIF('Stock In'!$C:$C,B:B,'Stock In'!$G:$G)</f>
        <v>0</v>
      </c>
    </row>
    <row r="605" spans="2:4">
      <c r="B605" s="2" t="s">
        <v>436</v>
      </c>
      <c r="C605" t="s">
        <v>473</v>
      </c>
      <c r="D605" s="4">
        <f>SUMIF('Stock In'!$C:$C,B:B,'Stock In'!$G:$G)</f>
        <v>0</v>
      </c>
    </row>
    <row r="606" spans="2:4">
      <c r="B606" s="2" t="s">
        <v>265</v>
      </c>
      <c r="C606" t="s">
        <v>266</v>
      </c>
      <c r="D606" s="4">
        <f>SUMIF('Stock In'!$C:$C,B:B,'Stock In'!$G:$G)</f>
        <v>0</v>
      </c>
    </row>
    <row r="607" spans="2:4">
      <c r="B607" s="2" t="s">
        <v>441</v>
      </c>
      <c r="C607" t="s">
        <v>1373</v>
      </c>
      <c r="D607" s="4">
        <f>SUMIF('Stock In'!$C:$C,B:B,'Stock In'!$G:$G)</f>
        <v>0</v>
      </c>
    </row>
    <row r="608" spans="2:4">
      <c r="B608" s="2" t="s">
        <v>433</v>
      </c>
      <c r="C608" t="s">
        <v>470</v>
      </c>
      <c r="D608" s="4">
        <f>SUMIF('Stock In'!$C:$C,B:B,'Stock In'!$G:$G)</f>
        <v>0</v>
      </c>
    </row>
    <row r="609" spans="2:4">
      <c r="B609" s="2" t="s">
        <v>1374</v>
      </c>
      <c r="C609" t="s">
        <v>1375</v>
      </c>
      <c r="D609" s="4">
        <f>SUMIF('Stock In'!$C:$C,B:B,'Stock In'!$G:$G)</f>
        <v>0</v>
      </c>
    </row>
    <row r="610" spans="2:4">
      <c r="B610" s="2" t="s">
        <v>452</v>
      </c>
      <c r="C610" t="s">
        <v>488</v>
      </c>
      <c r="D610" s="4">
        <f>SUMIF('Stock In'!$C:$C,B:B,'Stock In'!$G:$G)</f>
        <v>0</v>
      </c>
    </row>
    <row r="611" spans="2:4">
      <c r="B611" s="2" t="s">
        <v>447</v>
      </c>
      <c r="C611" t="s">
        <v>483</v>
      </c>
      <c r="D611" s="4">
        <f>SUMIF('Stock In'!$C:$C,B:B,'Stock In'!$G:$G)</f>
        <v>0</v>
      </c>
    </row>
    <row r="612" spans="2:4">
      <c r="B612" s="2" t="s">
        <v>449</v>
      </c>
      <c r="C612" t="s">
        <v>485</v>
      </c>
      <c r="D612" s="4">
        <f>SUMIF('Stock In'!$C:$C,B:B,'Stock In'!$G:$G)</f>
        <v>0</v>
      </c>
    </row>
    <row r="613" spans="2:4">
      <c r="B613" s="2" t="s">
        <v>455</v>
      </c>
      <c r="C613" t="s">
        <v>491</v>
      </c>
      <c r="D613" s="4">
        <f>SUMIF('Stock In'!$C:$C,B:B,'Stock In'!$G:$G)</f>
        <v>0</v>
      </c>
    </row>
    <row r="614" spans="2:4">
      <c r="B614" s="2" t="s">
        <v>321</v>
      </c>
      <c r="C614" t="s">
        <v>322</v>
      </c>
      <c r="D614" s="4">
        <f>SUMIF('Stock In'!$C:$C,B:B,'Stock In'!$G:$G)</f>
        <v>0</v>
      </c>
    </row>
    <row r="615" spans="2:4">
      <c r="B615" s="2" t="s">
        <v>367</v>
      </c>
      <c r="C615" t="s">
        <v>368</v>
      </c>
      <c r="D615" s="4">
        <f>SUMIF('Stock In'!$C:$C,B:B,'Stock In'!$G:$G)</f>
        <v>0</v>
      </c>
    </row>
    <row r="616" spans="2:4">
      <c r="B616" s="2" t="s">
        <v>91</v>
      </c>
      <c r="C616" t="s">
        <v>92</v>
      </c>
      <c r="D616" s="4">
        <f>SUMIF('Stock In'!$C:$C,B:B,'Stock In'!$G:$G)</f>
        <v>0</v>
      </c>
    </row>
    <row r="617" spans="2:4">
      <c r="B617" s="2" t="s">
        <v>93</v>
      </c>
      <c r="C617" t="s">
        <v>94</v>
      </c>
      <c r="D617" s="4">
        <f>SUMIF('Stock In'!$C:$C,B:B,'Stock In'!$G:$G)</f>
        <v>0</v>
      </c>
    </row>
    <row r="618" spans="2:4">
      <c r="B618" s="2" t="s">
        <v>293</v>
      </c>
      <c r="C618" t="s">
        <v>294</v>
      </c>
      <c r="D618" s="4">
        <f>SUMIF('Stock In'!$C:$C,B:B,'Stock In'!$G:$G)</f>
        <v>0</v>
      </c>
    </row>
    <row r="619" spans="2:4">
      <c r="B619" s="2" t="s">
        <v>295</v>
      </c>
      <c r="C619" t="s">
        <v>296</v>
      </c>
      <c r="D619" s="4">
        <f>SUMIF('Stock In'!$C:$C,B:B,'Stock In'!$G:$G)</f>
        <v>0</v>
      </c>
    </row>
    <row r="620" spans="2:4">
      <c r="B620" s="2" t="s">
        <v>95</v>
      </c>
      <c r="C620" t="s">
        <v>96</v>
      </c>
      <c r="D620" s="4">
        <f>SUMIF('Stock In'!$C:$C,B:B,'Stock In'!$G:$G)</f>
        <v>0</v>
      </c>
    </row>
    <row r="621" spans="2:4">
      <c r="B621" s="2" t="s">
        <v>1376</v>
      </c>
      <c r="C621" t="s">
        <v>1377</v>
      </c>
      <c r="D621" s="4">
        <f>SUMIF('Stock In'!$C:$C,B:B,'Stock In'!$G:$G)</f>
        <v>0</v>
      </c>
    </row>
    <row r="622" spans="2:4">
      <c r="B622" s="2" t="s">
        <v>1378</v>
      </c>
      <c r="C622" t="s">
        <v>1379</v>
      </c>
      <c r="D622" s="4">
        <f>SUMIF('Stock In'!$C:$C,B:B,'Stock In'!$G:$G)</f>
        <v>0</v>
      </c>
    </row>
    <row r="623" spans="2:4">
      <c r="B623" s="2" t="s">
        <v>451</v>
      </c>
      <c r="C623" t="s">
        <v>487</v>
      </c>
      <c r="D623" s="4">
        <f>SUMIF('Stock In'!$C:$C,B:B,'Stock In'!$G:$G)</f>
        <v>0</v>
      </c>
    </row>
    <row r="624" spans="2:4">
      <c r="B624" s="2" t="s">
        <v>97</v>
      </c>
      <c r="C624" t="s">
        <v>98</v>
      </c>
      <c r="D624" s="4">
        <f>SUMIF('Stock In'!$C:$C,B:B,'Stock In'!$G:$G)</f>
        <v>0</v>
      </c>
    </row>
    <row r="625" spans="2:4">
      <c r="B625" s="2" t="s">
        <v>267</v>
      </c>
      <c r="C625" t="s">
        <v>268</v>
      </c>
      <c r="D625" s="4">
        <f>SUMIF('Stock In'!$C:$C,B:B,'Stock In'!$G:$G)</f>
        <v>0</v>
      </c>
    </row>
    <row r="626" spans="2:4">
      <c r="B626" s="2" t="s">
        <v>435</v>
      </c>
      <c r="C626" t="s">
        <v>472</v>
      </c>
      <c r="D626" s="4">
        <f>SUMIF('Stock In'!$C:$C,B:B,'Stock In'!$G:$G)</f>
        <v>0</v>
      </c>
    </row>
    <row r="627" spans="2:4">
      <c r="B627" s="2" t="s">
        <v>448</v>
      </c>
      <c r="C627" t="s">
        <v>484</v>
      </c>
      <c r="D627" s="4">
        <f>SUMIF('Stock In'!$C:$C,B:B,'Stock In'!$G:$G)</f>
        <v>0</v>
      </c>
    </row>
    <row r="628" spans="2:4">
      <c r="B628" s="2" t="s">
        <v>99</v>
      </c>
      <c r="C628" t="s">
        <v>100</v>
      </c>
      <c r="D628" s="4">
        <f>SUMIF('Stock In'!$C:$C,B:B,'Stock In'!$G:$G)</f>
        <v>0</v>
      </c>
    </row>
    <row r="629" spans="2:4">
      <c r="B629" s="2" t="s">
        <v>269</v>
      </c>
      <c r="C629" t="s">
        <v>270</v>
      </c>
      <c r="D629" s="4">
        <f>SUMIF('Stock In'!$C:$C,B:B,'Stock In'!$G:$G)</f>
        <v>0</v>
      </c>
    </row>
    <row r="630" spans="2:4">
      <c r="B630" s="2" t="s">
        <v>442</v>
      </c>
      <c r="C630" t="s">
        <v>478</v>
      </c>
      <c r="D630" s="4">
        <f>SUMIF('Stock In'!$C:$C,B:B,'Stock In'!$G:$G)</f>
        <v>0</v>
      </c>
    </row>
    <row r="631" spans="2:4">
      <c r="B631" s="2" t="s">
        <v>456</v>
      </c>
      <c r="C631" t="s">
        <v>492</v>
      </c>
      <c r="D631" s="4">
        <f>SUMIF('Stock In'!$C:$C,B:B,'Stock In'!$G:$G)</f>
        <v>0</v>
      </c>
    </row>
    <row r="632" spans="2:4">
      <c r="B632" s="2" t="s">
        <v>1380</v>
      </c>
      <c r="C632" t="s">
        <v>1381</v>
      </c>
      <c r="D632" s="4">
        <f>SUMIF('Stock In'!$C:$C,B:B,'Stock In'!$G:$G)</f>
        <v>0</v>
      </c>
    </row>
    <row r="633" spans="2:4">
      <c r="B633" s="2" t="s">
        <v>1382</v>
      </c>
      <c r="C633" t="s">
        <v>1383</v>
      </c>
      <c r="D633" s="4">
        <f>SUMIF('Stock In'!$C:$C,B:B,'Stock In'!$G:$G)</f>
        <v>0</v>
      </c>
    </row>
    <row r="634" spans="2:4">
      <c r="B634" s="2" t="s">
        <v>371</v>
      </c>
      <c r="C634" t="s">
        <v>372</v>
      </c>
      <c r="D634" s="4">
        <f>SUMIF('Stock In'!$C:$C,B:B,'Stock In'!$G:$G)</f>
        <v>0</v>
      </c>
    </row>
    <row r="635" spans="2:4">
      <c r="B635" s="2" t="s">
        <v>1384</v>
      </c>
      <c r="C635" t="s">
        <v>1385</v>
      </c>
      <c r="D635" s="4">
        <f>SUMIF('Stock In'!$C:$C,B:B,'Stock In'!$G:$G)</f>
        <v>0</v>
      </c>
    </row>
    <row r="636" spans="2:4">
      <c r="B636" s="2" t="s">
        <v>391</v>
      </c>
      <c r="C636" t="s">
        <v>392</v>
      </c>
      <c r="D636" s="4">
        <f>SUMIF('Stock In'!$C:$C,B:B,'Stock In'!$G:$G)</f>
        <v>0</v>
      </c>
    </row>
    <row r="637" spans="2:4">
      <c r="B637" s="2" t="s">
        <v>379</v>
      </c>
      <c r="C637" t="s">
        <v>380</v>
      </c>
      <c r="D637" s="4">
        <f>SUMIF('Stock In'!$C:$C,B:B,'Stock In'!$G:$G)</f>
        <v>0</v>
      </c>
    </row>
    <row r="638" spans="2:4">
      <c r="B638" s="2" t="s">
        <v>389</v>
      </c>
      <c r="C638" t="s">
        <v>390</v>
      </c>
      <c r="D638" s="4">
        <f>SUMIF('Stock In'!$C:$C,B:B,'Stock In'!$G:$G)</f>
        <v>0</v>
      </c>
    </row>
    <row r="639" spans="2:4">
      <c r="B639" s="2" t="s">
        <v>385</v>
      </c>
      <c r="C639" t="s">
        <v>386</v>
      </c>
      <c r="D639" s="4">
        <f>SUMIF('Stock In'!$C:$C,B:B,'Stock In'!$G:$G)</f>
        <v>0</v>
      </c>
    </row>
    <row r="640" spans="2:4">
      <c r="B640" s="2" t="s">
        <v>349</v>
      </c>
      <c r="C640" t="s">
        <v>350</v>
      </c>
      <c r="D640" s="4">
        <f>SUMIF('Stock In'!$C:$C,B:B,'Stock In'!$G:$G)</f>
        <v>0</v>
      </c>
    </row>
    <row r="641" spans="2:4">
      <c r="B641" s="2" t="s">
        <v>351</v>
      </c>
      <c r="C641" t="s">
        <v>352</v>
      </c>
      <c r="D641" s="4">
        <f>SUMIF('Stock In'!$C:$C,B:B,'Stock In'!$G:$G)</f>
        <v>0</v>
      </c>
    </row>
    <row r="642" spans="2:4">
      <c r="B642" s="2" t="s">
        <v>353</v>
      </c>
      <c r="C642" t="s">
        <v>354</v>
      </c>
      <c r="D642" s="4">
        <f>SUMIF('Stock In'!$C:$C,B:B,'Stock In'!$G:$G)</f>
        <v>0</v>
      </c>
    </row>
    <row r="643" spans="2:4">
      <c r="B643" s="2" t="s">
        <v>363</v>
      </c>
      <c r="C643" t="s">
        <v>364</v>
      </c>
      <c r="D643" s="4">
        <f>SUMIF('Stock In'!$C:$C,B:B,'Stock In'!$G:$G)</f>
        <v>0</v>
      </c>
    </row>
    <row r="644" spans="2:4">
      <c r="B644" s="2" t="s">
        <v>365</v>
      </c>
      <c r="C644" t="s">
        <v>366</v>
      </c>
      <c r="D644" s="4">
        <f>SUMIF('Stock In'!$C:$C,B:B,'Stock In'!$G:$G)</f>
        <v>0</v>
      </c>
    </row>
    <row r="645" spans="2:4">
      <c r="B645" s="2" t="s">
        <v>369</v>
      </c>
      <c r="C645" t="s">
        <v>370</v>
      </c>
      <c r="D645" s="4">
        <f>SUMIF('Stock In'!$C:$C,B:B,'Stock In'!$G:$G)</f>
        <v>0</v>
      </c>
    </row>
    <row r="646" spans="2:4">
      <c r="B646" s="2" t="s">
        <v>381</v>
      </c>
      <c r="C646" t="s">
        <v>382</v>
      </c>
      <c r="D646" s="4">
        <f>SUMIF('Stock In'!$C:$C,B:B,'Stock In'!$G:$G)</f>
        <v>0</v>
      </c>
    </row>
    <row r="647" spans="2:4">
      <c r="B647" s="2" t="s">
        <v>383</v>
      </c>
      <c r="C647" t="s">
        <v>384</v>
      </c>
      <c r="D647" s="4">
        <f>SUMIF('Stock In'!$C:$C,B:B,'Stock In'!$G:$G)</f>
        <v>0</v>
      </c>
    </row>
    <row r="648" spans="2:4">
      <c r="B648" s="2" t="s">
        <v>387</v>
      </c>
      <c r="C648" t="s">
        <v>388</v>
      </c>
      <c r="D648" s="4">
        <f>SUMIF('Stock In'!$C:$C,B:B,'Stock In'!$G:$G)</f>
        <v>0</v>
      </c>
    </row>
    <row r="649" spans="2:4">
      <c r="B649" s="2" t="s">
        <v>341</v>
      </c>
      <c r="C649" t="s">
        <v>342</v>
      </c>
      <c r="D649" s="4">
        <f>SUMIF('Stock In'!$C:$C,B:B,'Stock In'!$G:$G)</f>
        <v>0</v>
      </c>
    </row>
    <row r="650" spans="2:4">
      <c r="B650" s="2" t="s">
        <v>335</v>
      </c>
      <c r="C650" t="s">
        <v>336</v>
      </c>
      <c r="D650" s="4">
        <f>SUMIF('Stock In'!$C:$C,B:B,'Stock In'!$G:$G)</f>
        <v>0</v>
      </c>
    </row>
    <row r="651" spans="2:4">
      <c r="B651" s="2" t="s">
        <v>339</v>
      </c>
      <c r="C651" t="s">
        <v>340</v>
      </c>
      <c r="D651" s="4">
        <f>SUMIF('Stock In'!$C:$C,B:B,'Stock In'!$G:$G)</f>
        <v>0</v>
      </c>
    </row>
    <row r="652" spans="2:4">
      <c r="B652" s="2" t="s">
        <v>337</v>
      </c>
      <c r="C652" t="s">
        <v>338</v>
      </c>
      <c r="D652" s="4">
        <f>SUMIF('Stock In'!$C:$C,B:B,'Stock In'!$G:$G)</f>
        <v>0</v>
      </c>
    </row>
    <row r="653" spans="2:4">
      <c r="B653" s="2" t="s">
        <v>343</v>
      </c>
      <c r="C653" t="s">
        <v>344</v>
      </c>
      <c r="D653" s="4">
        <f>SUMIF('Stock In'!$C:$C,B:B,'Stock In'!$G:$G)</f>
        <v>0</v>
      </c>
    </row>
    <row r="654" spans="2:4">
      <c r="B654" s="2" t="s">
        <v>297</v>
      </c>
      <c r="C654" t="s">
        <v>298</v>
      </c>
      <c r="D654" s="4">
        <f>SUMIF('Stock In'!$C:$C,B:B,'Stock In'!$G:$G)</f>
        <v>0</v>
      </c>
    </row>
    <row r="655" spans="2:4">
      <c r="B655" s="2" t="s">
        <v>411</v>
      </c>
      <c r="C655" t="s">
        <v>412</v>
      </c>
      <c r="D655" s="4">
        <f>SUMIF('Stock In'!$C:$C,B:B,'Stock In'!$G:$G)</f>
        <v>0</v>
      </c>
    </row>
    <row r="656" spans="2:4">
      <c r="B656" s="2" t="s">
        <v>101</v>
      </c>
      <c r="C656" t="s">
        <v>102</v>
      </c>
      <c r="D656" s="4">
        <f>SUMIF('Stock In'!$C:$C,B:B,'Stock In'!$G:$G)</f>
        <v>0</v>
      </c>
    </row>
    <row r="657" spans="2:4">
      <c r="B657" s="2" t="s">
        <v>426</v>
      </c>
      <c r="C657" t="s">
        <v>463</v>
      </c>
      <c r="D657" s="4">
        <f>SUMIF('Stock In'!$C:$C,B:B,'Stock In'!$G:$G)</f>
        <v>0</v>
      </c>
    </row>
    <row r="658" spans="2:4">
      <c r="B658" s="2" t="s">
        <v>357</v>
      </c>
      <c r="C658" t="s">
        <v>358</v>
      </c>
      <c r="D658" s="4">
        <f>SUMIF('Stock In'!$C:$C,B:B,'Stock In'!$G:$G)</f>
        <v>0</v>
      </c>
    </row>
    <row r="659" spans="2:4">
      <c r="B659" s="2" t="s">
        <v>271</v>
      </c>
      <c r="C659" t="s">
        <v>272</v>
      </c>
      <c r="D659" s="4">
        <f>SUMIF('Stock In'!$C:$C,B:B,'Stock In'!$G:$G)</f>
        <v>0</v>
      </c>
    </row>
    <row r="660" spans="2:4">
      <c r="B660" s="2" t="s">
        <v>437</v>
      </c>
      <c r="C660" t="s">
        <v>474</v>
      </c>
      <c r="D660" s="4">
        <f>SUMIF('Stock In'!$C:$C,B:B,'Stock In'!$G:$G)</f>
        <v>0</v>
      </c>
    </row>
    <row r="661" spans="2:4">
      <c r="B661" s="2" t="s">
        <v>450</v>
      </c>
      <c r="C661" t="s">
        <v>486</v>
      </c>
      <c r="D661" s="4">
        <f>SUMIF('Stock In'!$C:$C,B:B,'Stock In'!$G:$G)</f>
        <v>0</v>
      </c>
    </row>
    <row r="662" spans="2:4">
      <c r="B662" s="2" t="s">
        <v>323</v>
      </c>
      <c r="C662" t="s">
        <v>324</v>
      </c>
      <c r="D662" s="4">
        <f>SUMIF('Stock In'!$C:$C,B:B,'Stock In'!$G:$G)</f>
        <v>0</v>
      </c>
    </row>
    <row r="663" spans="2:4">
      <c r="B663" s="2" t="s">
        <v>373</v>
      </c>
      <c r="C663" t="s">
        <v>374</v>
      </c>
      <c r="D663" s="4">
        <f>SUMIF('Stock In'!$C:$C,B:B,'Stock In'!$G:$G)</f>
        <v>0</v>
      </c>
    </row>
    <row r="664" spans="2:4">
      <c r="B664" s="2" t="s">
        <v>1386</v>
      </c>
      <c r="C664" t="s">
        <v>1387</v>
      </c>
      <c r="D664" s="4">
        <f>SUMIF('Stock In'!$C:$C,B:B,'Stock In'!$G:$G)</f>
        <v>0</v>
      </c>
    </row>
    <row r="665" spans="2:4">
      <c r="B665" s="2" t="s">
        <v>1388</v>
      </c>
      <c r="C665" t="s">
        <v>1389</v>
      </c>
      <c r="D665" s="4">
        <f>SUMIF('Stock In'!$C:$C,B:B,'Stock In'!$G:$G)</f>
        <v>0</v>
      </c>
    </row>
    <row r="666" spans="2:4">
      <c r="B666" s="2" t="s">
        <v>1390</v>
      </c>
      <c r="C666" t="s">
        <v>1391</v>
      </c>
      <c r="D666" s="4">
        <f>SUMIF('Stock In'!$C:$C,B:B,'Stock In'!$G:$G)</f>
        <v>0</v>
      </c>
    </row>
    <row r="667" spans="2:4">
      <c r="B667" s="2" t="s">
        <v>1392</v>
      </c>
      <c r="C667" t="s">
        <v>1393</v>
      </c>
      <c r="D667" s="4">
        <f>SUMIF('Stock In'!$C:$C,B:B,'Stock In'!$G:$G)</f>
        <v>0</v>
      </c>
    </row>
    <row r="668" spans="2:4">
      <c r="B668" s="2" t="s">
        <v>1394</v>
      </c>
      <c r="C668" t="s">
        <v>1395</v>
      </c>
      <c r="D668" s="4">
        <f>SUMIF('Stock In'!$C:$C,B:B,'Stock In'!$G:$G)</f>
        <v>0</v>
      </c>
    </row>
    <row r="669" spans="2:4">
      <c r="B669" s="2" t="s">
        <v>127</v>
      </c>
      <c r="C669" t="s">
        <v>128</v>
      </c>
      <c r="D669" s="4">
        <f>SUMIF('Stock In'!$C:$C,B:B,'Stock In'!$G:$G)</f>
        <v>0</v>
      </c>
    </row>
    <row r="670" spans="2:4">
      <c r="B670" s="2" t="s">
        <v>1396</v>
      </c>
      <c r="C670" t="s">
        <v>1397</v>
      </c>
      <c r="D670" s="4">
        <f>SUMIF('Stock In'!$C:$C,B:B,'Stock In'!$G:$G)</f>
        <v>0</v>
      </c>
    </row>
    <row r="671" spans="2:4">
      <c r="B671" s="2" t="s">
        <v>1398</v>
      </c>
      <c r="C671" t="s">
        <v>1399</v>
      </c>
      <c r="D671" s="4">
        <f>SUMIF('Stock In'!$C:$C,B:B,'Stock In'!$G:$G)</f>
        <v>0</v>
      </c>
    </row>
    <row r="672" spans="2:4">
      <c r="B672" s="2" t="s">
        <v>1400</v>
      </c>
      <c r="C672" t="s">
        <v>1401</v>
      </c>
      <c r="D672" s="4">
        <f>SUMIF('Stock In'!$C:$C,B:B,'Stock In'!$G:$G)</f>
        <v>0</v>
      </c>
    </row>
    <row r="673" spans="2:4">
      <c r="B673" s="2" t="s">
        <v>1402</v>
      </c>
      <c r="C673" t="s">
        <v>1403</v>
      </c>
      <c r="D673" s="4">
        <f>SUMIF('Stock In'!$C:$C,B:B,'Stock In'!$G:$G)</f>
        <v>0</v>
      </c>
    </row>
    <row r="674" spans="2:4">
      <c r="B674" s="2" t="s">
        <v>1404</v>
      </c>
      <c r="C674" t="s">
        <v>1405</v>
      </c>
      <c r="D674" s="4">
        <f>SUMIF('Stock In'!$C:$C,B:B,'Stock In'!$G:$G)</f>
        <v>0</v>
      </c>
    </row>
    <row r="675" spans="2:4">
      <c r="B675" s="2" t="s">
        <v>1406</v>
      </c>
      <c r="C675" t="s">
        <v>1407</v>
      </c>
      <c r="D675" s="4">
        <f>SUMIF('Stock In'!$C:$C,B:B,'Stock In'!$G:$G)</f>
        <v>0</v>
      </c>
    </row>
    <row r="676" spans="2:4">
      <c r="B676" s="2" t="s">
        <v>149</v>
      </c>
      <c r="C676" t="s">
        <v>150</v>
      </c>
      <c r="D676" s="4">
        <f>SUMIF('Stock In'!$C:$C,B:B,'Stock In'!$G:$G)</f>
        <v>0</v>
      </c>
    </row>
    <row r="677" spans="2:4">
      <c r="B677" s="2" t="s">
        <v>1408</v>
      </c>
      <c r="C677" t="s">
        <v>1409</v>
      </c>
      <c r="D677" s="4">
        <f>SUMIF('Stock In'!$C:$C,B:B,'Stock In'!$G:$G)</f>
        <v>0</v>
      </c>
    </row>
    <row r="678" spans="2:4">
      <c r="B678" s="2" t="s">
        <v>1410</v>
      </c>
      <c r="C678" t="s">
        <v>1411</v>
      </c>
      <c r="D678" s="4">
        <f>SUMIF('Stock In'!$C:$C,B:B,'Stock In'!$G:$G)</f>
        <v>0</v>
      </c>
    </row>
    <row r="679" spans="2:4">
      <c r="B679" s="2" t="s">
        <v>1412</v>
      </c>
      <c r="C679" t="s">
        <v>1413</v>
      </c>
      <c r="D679" s="4">
        <f>SUMIF('Stock In'!$C:$C,B:B,'Stock In'!$G:$G)</f>
        <v>0</v>
      </c>
    </row>
    <row r="680" spans="2:4">
      <c r="B680" s="2" t="s">
        <v>1414</v>
      </c>
      <c r="C680" t="s">
        <v>1415</v>
      </c>
      <c r="D680" s="4">
        <f>SUMIF('Stock In'!$C:$C,B:B,'Stock In'!$G:$G)</f>
        <v>0</v>
      </c>
    </row>
    <row r="681" spans="2:4">
      <c r="B681" s="2" t="s">
        <v>159</v>
      </c>
      <c r="C681" t="s">
        <v>160</v>
      </c>
      <c r="D681" s="4">
        <f>SUMIF('Stock In'!$C:$C,B:B,'Stock In'!$G:$G)</f>
        <v>0</v>
      </c>
    </row>
    <row r="682" spans="2:4">
      <c r="B682" s="2" t="s">
        <v>161</v>
      </c>
      <c r="C682" t="s">
        <v>162</v>
      </c>
      <c r="D682" s="4">
        <f>SUMIF('Stock In'!$C:$C,B:B,'Stock In'!$G:$G)</f>
        <v>0</v>
      </c>
    </row>
    <row r="683" spans="2:4">
      <c r="B683" s="2" t="s">
        <v>163</v>
      </c>
      <c r="C683" t="s">
        <v>164</v>
      </c>
      <c r="D683" s="4">
        <f>SUMIF('Stock In'!$C:$C,B:B,'Stock In'!$G:$G)</f>
        <v>0</v>
      </c>
    </row>
    <row r="684" spans="2:4">
      <c r="B684" s="2" t="s">
        <v>165</v>
      </c>
      <c r="C684" t="s">
        <v>166</v>
      </c>
      <c r="D684" s="4">
        <f>SUMIF('Stock In'!$C:$C,B:B,'Stock In'!$G:$G)</f>
        <v>0</v>
      </c>
    </row>
    <row r="685" spans="2:4">
      <c r="B685" s="2" t="s">
        <v>1416</v>
      </c>
      <c r="C685" t="s">
        <v>1417</v>
      </c>
      <c r="D685" s="4">
        <f>SUMIF('Stock In'!$C:$C,B:B,'Stock In'!$G:$G)</f>
        <v>0</v>
      </c>
    </row>
    <row r="686" spans="2:4">
      <c r="B686" s="2" t="s">
        <v>196</v>
      </c>
      <c r="C686" t="s">
        <v>197</v>
      </c>
      <c r="D686" s="4">
        <f>SUMIF('Stock In'!$C:$C,B:B,'Stock In'!$G:$G)</f>
        <v>56000</v>
      </c>
    </row>
    <row r="687" spans="2:4">
      <c r="B687" s="2" t="s">
        <v>1418</v>
      </c>
      <c r="C687" t="s">
        <v>1419</v>
      </c>
      <c r="D687" s="4">
        <f>SUMIF('Stock In'!$C:$C,B:B,'Stock In'!$G:$G)</f>
        <v>0</v>
      </c>
    </row>
    <row r="688" spans="2:4">
      <c r="B688" s="2" t="s">
        <v>1420</v>
      </c>
      <c r="C688" t="s">
        <v>1421</v>
      </c>
      <c r="D688" s="4">
        <f>SUMIF('Stock In'!$C:$C,B:B,'Stock In'!$G:$G)</f>
        <v>0</v>
      </c>
    </row>
    <row r="689" spans="2:4">
      <c r="B689" s="2" t="s">
        <v>1422</v>
      </c>
      <c r="C689" t="s">
        <v>1423</v>
      </c>
      <c r="D689" s="4">
        <f>SUMIF('Stock In'!$C:$C,B:B,'Stock In'!$G:$G)</f>
        <v>0</v>
      </c>
    </row>
    <row r="690" spans="2:4">
      <c r="B690" s="2" t="s">
        <v>1424</v>
      </c>
      <c r="C690" t="s">
        <v>1425</v>
      </c>
      <c r="D690" s="4">
        <f>SUMIF('Stock In'!$C:$C,B:B,'Stock In'!$G:$G)</f>
        <v>0</v>
      </c>
    </row>
    <row r="691" spans="2:4">
      <c r="B691" s="2" t="s">
        <v>1426</v>
      </c>
      <c r="C691" t="s">
        <v>1427</v>
      </c>
      <c r="D691" s="4">
        <f>SUMIF('Stock In'!$C:$C,B:B,'Stock In'!$G:$G)</f>
        <v>0</v>
      </c>
    </row>
    <row r="692" spans="2:4">
      <c r="B692" s="2" t="s">
        <v>216</v>
      </c>
      <c r="C692" t="s">
        <v>217</v>
      </c>
      <c r="D692" s="4">
        <f>SUMIF('Stock In'!$C:$C,B:B,'Stock In'!$G:$G)</f>
        <v>0</v>
      </c>
    </row>
    <row r="693" spans="2:4">
      <c r="B693" s="2" t="s">
        <v>218</v>
      </c>
      <c r="C693" t="s">
        <v>219</v>
      </c>
      <c r="D693" s="4">
        <f>SUMIF('Stock In'!$C:$C,B:B,'Stock In'!$G:$G)</f>
        <v>0</v>
      </c>
    </row>
    <row r="694" spans="2:4">
      <c r="B694" s="2" t="s">
        <v>220</v>
      </c>
      <c r="C694" t="s">
        <v>221</v>
      </c>
      <c r="D694" s="4">
        <f>SUMIF('Stock In'!$C:$C,B:B,'Stock In'!$G:$G)</f>
        <v>0</v>
      </c>
    </row>
    <row r="695" spans="2:4">
      <c r="B695" s="2" t="s">
        <v>1428</v>
      </c>
      <c r="C695" t="s">
        <v>1429</v>
      </c>
      <c r="D695" s="4">
        <f>SUMIF('Stock In'!$C:$C,B:B,'Stock In'!$G:$G)</f>
        <v>0</v>
      </c>
    </row>
    <row r="696" spans="2:4">
      <c r="B696" s="2" t="s">
        <v>1430</v>
      </c>
      <c r="C696" t="s">
        <v>1431</v>
      </c>
      <c r="D696" s="4">
        <f>SUMIF('Stock In'!$C:$C,B:B,'Stock In'!$G:$G)</f>
        <v>0</v>
      </c>
    </row>
    <row r="697" spans="2:4">
      <c r="B697" s="2" t="s">
        <v>1432</v>
      </c>
      <c r="C697" t="s">
        <v>1433</v>
      </c>
      <c r="D697" s="4">
        <f>SUMIF('Stock In'!$C:$C,B:B,'Stock In'!$G:$G)</f>
        <v>0</v>
      </c>
    </row>
    <row r="698" spans="2:4">
      <c r="B698" s="2" t="s">
        <v>1434</v>
      </c>
      <c r="C698" t="s">
        <v>1435</v>
      </c>
      <c r="D698" s="4">
        <f>SUMIF('Stock In'!$C:$C,B:B,'Stock In'!$G:$G)</f>
        <v>0</v>
      </c>
    </row>
    <row r="699" spans="2:4">
      <c r="B699" s="2" t="s">
        <v>1436</v>
      </c>
      <c r="C699" t="s">
        <v>1437</v>
      </c>
      <c r="D699" s="4">
        <f>SUMIF('Stock In'!$C:$C,B:B,'Stock In'!$G:$G)</f>
        <v>0</v>
      </c>
    </row>
    <row r="700" spans="2:4">
      <c r="B700" s="2" t="s">
        <v>1438</v>
      </c>
      <c r="C700" t="s">
        <v>1439</v>
      </c>
      <c r="D700" s="4">
        <f>SUMIF('Stock In'!$C:$C,B:B,'Stock In'!$G:$G)</f>
        <v>0</v>
      </c>
    </row>
    <row r="701" spans="2:4">
      <c r="B701" s="2" t="s">
        <v>1440</v>
      </c>
      <c r="C701" t="s">
        <v>1441</v>
      </c>
      <c r="D701" s="4">
        <f>SUMIF('Stock In'!$C:$C,B:B,'Stock In'!$G:$G)</f>
        <v>0</v>
      </c>
    </row>
    <row r="702" spans="2:4">
      <c r="B702" s="2" t="s">
        <v>1442</v>
      </c>
      <c r="C702" t="s">
        <v>1443</v>
      </c>
      <c r="D702" s="4">
        <f>SUMIF('Stock In'!$C:$C,B:B,'Stock In'!$G:$G)</f>
        <v>0</v>
      </c>
    </row>
    <row r="703" spans="2:4">
      <c r="B703" s="2" t="s">
        <v>1444</v>
      </c>
      <c r="C703" t="s">
        <v>1445</v>
      </c>
      <c r="D703" s="4">
        <f>SUMIF('Stock In'!$C:$C,B:B,'Stock In'!$G:$G)</f>
        <v>0</v>
      </c>
    </row>
    <row r="704" spans="2:4">
      <c r="B704" s="2" t="s">
        <v>446</v>
      </c>
      <c r="C704" t="s">
        <v>482</v>
      </c>
      <c r="D704" s="4">
        <f>SUMIF('Stock In'!$C:$C,B:B,'Stock In'!$G:$G)</f>
        <v>0</v>
      </c>
    </row>
    <row r="705" spans="2:4">
      <c r="B705" s="2" t="s">
        <v>1446</v>
      </c>
      <c r="C705" t="s">
        <v>1447</v>
      </c>
      <c r="D705" s="4">
        <f>SUMIF('Stock In'!$C:$C,B:B,'Stock In'!$G:$G)</f>
        <v>0</v>
      </c>
    </row>
    <row r="706" spans="2:4">
      <c r="B706" s="2" t="s">
        <v>222</v>
      </c>
      <c r="C706" t="s">
        <v>223</v>
      </c>
      <c r="D706" s="4">
        <f>SUMIF('Stock In'!$C:$C,B:B,'Stock In'!$G:$G)</f>
        <v>0</v>
      </c>
    </row>
    <row r="707" spans="2:4">
      <c r="B707" s="2" t="s">
        <v>1448</v>
      </c>
      <c r="C707" t="s">
        <v>1449</v>
      </c>
      <c r="D707" s="4">
        <f>SUMIF('Stock In'!$C:$C,B:B,'Stock In'!$G:$G)</f>
        <v>0</v>
      </c>
    </row>
    <row r="708" spans="2:4">
      <c r="B708" s="2" t="s">
        <v>1450</v>
      </c>
      <c r="C708" t="s">
        <v>1451</v>
      </c>
      <c r="D708" s="4">
        <f>SUMIF('Stock In'!$C:$C,B:B,'Stock In'!$G:$G)</f>
        <v>0</v>
      </c>
    </row>
    <row r="709" spans="2:4">
      <c r="B709" s="2" t="s">
        <v>1452</v>
      </c>
      <c r="C709" t="s">
        <v>1453</v>
      </c>
      <c r="D709" s="4">
        <f>SUMIF('Stock In'!$C:$C,B:B,'Stock In'!$G:$G)</f>
        <v>0</v>
      </c>
    </row>
    <row r="710" spans="2:4">
      <c r="B710" s="2" t="s">
        <v>1454</v>
      </c>
      <c r="C710" t="s">
        <v>1455</v>
      </c>
      <c r="D710" s="4">
        <f>SUMIF('Stock In'!$C:$C,B:B,'Stock In'!$G:$G)</f>
        <v>0</v>
      </c>
    </row>
    <row r="711" spans="2:4">
      <c r="B711" s="2" t="s">
        <v>1456</v>
      </c>
      <c r="C711" t="s">
        <v>1457</v>
      </c>
      <c r="D711" s="4">
        <f>SUMIF('Stock In'!$C:$C,B:B,'Stock In'!$G:$G)</f>
        <v>0</v>
      </c>
    </row>
    <row r="712" spans="2:4">
      <c r="B712" s="2" t="s">
        <v>1458</v>
      </c>
      <c r="C712" t="s">
        <v>1459</v>
      </c>
      <c r="D712" s="4">
        <f>SUMIF('Stock In'!$C:$C,B:B,'Stock In'!$G:$G)</f>
        <v>0</v>
      </c>
    </row>
    <row r="713" spans="2:4">
      <c r="B713" s="2" t="s">
        <v>1460</v>
      </c>
      <c r="C713" t="s">
        <v>1461</v>
      </c>
      <c r="D713" s="4">
        <f>SUMIF('Stock In'!$C:$C,B:B,'Stock In'!$G:$G)</f>
        <v>0</v>
      </c>
    </row>
    <row r="714" spans="2:4">
      <c r="B714" s="2" t="s">
        <v>1462</v>
      </c>
      <c r="C714" t="s">
        <v>1463</v>
      </c>
      <c r="D714" s="4">
        <f>SUMIF('Stock In'!$C:$C,B:B,'Stock In'!$G:$G)</f>
        <v>0</v>
      </c>
    </row>
    <row r="715" spans="2:4">
      <c r="B715" s="2" t="s">
        <v>1464</v>
      </c>
      <c r="C715" t="s">
        <v>1465</v>
      </c>
      <c r="D715" s="4">
        <f>SUMIF('Stock In'!$C:$C,B:B,'Stock In'!$G:$G)</f>
        <v>0</v>
      </c>
    </row>
    <row r="716" spans="2:4">
      <c r="B716" s="2" t="s">
        <v>239</v>
      </c>
      <c r="C716" t="s">
        <v>240</v>
      </c>
      <c r="D716" s="4">
        <f>SUMIF('Stock In'!$C:$C,B:B,'Stock In'!$G:$G)</f>
        <v>3000</v>
      </c>
    </row>
    <row r="717" spans="2:4">
      <c r="B717" s="2" t="s">
        <v>1466</v>
      </c>
      <c r="C717" t="s">
        <v>1467</v>
      </c>
      <c r="D717" s="4">
        <f>SUMIF('Stock In'!$C:$C,B:B,'Stock In'!$G:$G)</f>
        <v>0</v>
      </c>
    </row>
    <row r="718" spans="2:4">
      <c r="B718" s="2" t="s">
        <v>241</v>
      </c>
      <c r="C718" t="s">
        <v>242</v>
      </c>
      <c r="D718" s="4">
        <f>SUMIF('Stock In'!$C:$C,B:B,'Stock In'!$G:$G)</f>
        <v>0</v>
      </c>
    </row>
    <row r="719" spans="2:4">
      <c r="B719" s="2" t="s">
        <v>1468</v>
      </c>
      <c r="C719" t="s">
        <v>1469</v>
      </c>
      <c r="D719" s="4">
        <f>SUMIF('Stock In'!$C:$C,B:B,'Stock In'!$G:$G)</f>
        <v>0</v>
      </c>
    </row>
    <row r="720" spans="2:4">
      <c r="B720" s="2" t="s">
        <v>1470</v>
      </c>
      <c r="C720" t="s">
        <v>1471</v>
      </c>
      <c r="D720" s="4">
        <f>SUMIF('Stock In'!$C:$C,B:B,'Stock In'!$G:$G)</f>
        <v>0</v>
      </c>
    </row>
    <row r="721" spans="2:4">
      <c r="B721" s="2" t="s">
        <v>1472</v>
      </c>
      <c r="C721" t="s">
        <v>1473</v>
      </c>
      <c r="D721" s="4">
        <f>SUMIF('Stock In'!$C:$C,B:B,'Stock In'!$G:$G)</f>
        <v>0</v>
      </c>
    </row>
    <row r="722" spans="2:4">
      <c r="B722" s="2" t="s">
        <v>1474</v>
      </c>
      <c r="C722" t="s">
        <v>1475</v>
      </c>
      <c r="D722" s="4">
        <f>SUMIF('Stock In'!$C:$C,B:B,'Stock In'!$G:$G)</f>
        <v>0</v>
      </c>
    </row>
    <row r="723" spans="2:4">
      <c r="B723" s="2" t="s">
        <v>1476</v>
      </c>
      <c r="C723" t="s">
        <v>1477</v>
      </c>
      <c r="D723" s="4">
        <f>SUMIF('Stock In'!$C:$C,B:B,'Stock In'!$G:$G)</f>
        <v>0</v>
      </c>
    </row>
    <row r="724" spans="2:4">
      <c r="B724" s="2" t="s">
        <v>1478</v>
      </c>
      <c r="C724" t="s">
        <v>1479</v>
      </c>
      <c r="D724" s="4">
        <f>SUMIF('Stock In'!$C:$C,B:B,'Stock In'!$G:$G)</f>
        <v>0</v>
      </c>
    </row>
    <row r="725" spans="2:4">
      <c r="B725" s="2" t="s">
        <v>1480</v>
      </c>
      <c r="C725" t="s">
        <v>1481</v>
      </c>
      <c r="D725" s="4">
        <f>SUMIF('Stock In'!$C:$C,B:B,'Stock In'!$G:$G)</f>
        <v>0</v>
      </c>
    </row>
    <row r="726" spans="2:4">
      <c r="B726" s="2" t="s">
        <v>1482</v>
      </c>
      <c r="C726" t="s">
        <v>1483</v>
      </c>
      <c r="D726" s="4">
        <f>SUMIF('Stock In'!$C:$C,B:B,'Stock In'!$G:$G)</f>
        <v>0</v>
      </c>
    </row>
    <row r="727" spans="2:4">
      <c r="B727" s="2" t="s">
        <v>445</v>
      </c>
      <c r="C727" t="s">
        <v>481</v>
      </c>
      <c r="D727" s="4">
        <f>SUMIF('Stock In'!$C:$C,B:B,'Stock In'!$G:$G)</f>
        <v>0</v>
      </c>
    </row>
    <row r="728" spans="2:4">
      <c r="B728" s="2" t="s">
        <v>1484</v>
      </c>
      <c r="C728" t="s">
        <v>1485</v>
      </c>
      <c r="D728" s="4">
        <f>SUMIF('Stock In'!$C:$C,B:B,'Stock In'!$G:$G)</f>
        <v>0</v>
      </c>
    </row>
    <row r="729" spans="2:4">
      <c r="B729" s="2" t="s">
        <v>1486</v>
      </c>
      <c r="C729" t="s">
        <v>1487</v>
      </c>
      <c r="D729" s="4">
        <f>SUMIF('Stock In'!$C:$C,B:B,'Stock In'!$G:$G)</f>
        <v>0</v>
      </c>
    </row>
    <row r="730" spans="2:4">
      <c r="B730" s="2" t="s">
        <v>1488</v>
      </c>
      <c r="C730" t="s">
        <v>1489</v>
      </c>
      <c r="D730" s="4">
        <f>SUMIF('Stock In'!$C:$C,B:B,'Stock In'!$G:$G)</f>
        <v>0</v>
      </c>
    </row>
    <row r="731" spans="2:4">
      <c r="B731" s="2" t="s">
        <v>1490</v>
      </c>
      <c r="C731" t="s">
        <v>1491</v>
      </c>
      <c r="D731" s="4">
        <f>SUMIF('Stock In'!$C:$C,B:B,'Stock In'!$G:$G)</f>
        <v>0</v>
      </c>
    </row>
    <row r="732" spans="2:4">
      <c r="B732" s="2" t="s">
        <v>1492</v>
      </c>
      <c r="C732" t="s">
        <v>1493</v>
      </c>
      <c r="D732" s="4">
        <f>SUMIF('Stock In'!$C:$C,B:B,'Stock In'!$G:$G)</f>
        <v>0</v>
      </c>
    </row>
    <row r="733" spans="2:4">
      <c r="B733" s="2" t="s">
        <v>1494</v>
      </c>
      <c r="C733" t="s">
        <v>1495</v>
      </c>
      <c r="D733" s="4">
        <f>SUMIF('Stock In'!$C:$C,B:B,'Stock In'!$G:$G)</f>
        <v>0</v>
      </c>
    </row>
    <row r="734" spans="2:4">
      <c r="B734" s="2" t="s">
        <v>1496</v>
      </c>
      <c r="C734" t="s">
        <v>1497</v>
      </c>
      <c r="D734" s="4">
        <f>SUMIF('Stock In'!$C:$C,B:B,'Stock In'!$G:$G)</f>
        <v>0</v>
      </c>
    </row>
    <row r="735" spans="2:4">
      <c r="B735" s="2" t="s">
        <v>1498</v>
      </c>
      <c r="C735" t="s">
        <v>1499</v>
      </c>
      <c r="D735" s="4">
        <f>SUMIF('Stock In'!$C:$C,B:B,'Stock In'!$G:$G)</f>
        <v>0</v>
      </c>
    </row>
    <row r="736" spans="2:4">
      <c r="B736" s="2" t="s">
        <v>1500</v>
      </c>
      <c r="C736" t="s">
        <v>1501</v>
      </c>
      <c r="D736" s="4">
        <f>SUMIF('Stock In'!$C:$C,B:B,'Stock In'!$G:$G)</f>
        <v>0</v>
      </c>
    </row>
    <row r="737" spans="2:4">
      <c r="B737" s="2" t="s">
        <v>1502</v>
      </c>
      <c r="C737" t="s">
        <v>1503</v>
      </c>
      <c r="D737" s="4">
        <f>SUMIF('Stock In'!$C:$C,B:B,'Stock In'!$G:$G)</f>
        <v>0</v>
      </c>
    </row>
    <row r="738" spans="2:4">
      <c r="B738" s="2" t="s">
        <v>1504</v>
      </c>
      <c r="C738" t="s">
        <v>1505</v>
      </c>
      <c r="D738" s="4">
        <f>SUMIF('Stock In'!$C:$C,B:B,'Stock In'!$G:$G)</f>
        <v>0</v>
      </c>
    </row>
    <row r="739" spans="2:4">
      <c r="B739" s="2" t="s">
        <v>1506</v>
      </c>
      <c r="C739" t="s">
        <v>1507</v>
      </c>
      <c r="D739" s="4">
        <f>SUMIF('Stock In'!$C:$C,B:B,'Stock In'!$G:$G)</f>
        <v>0</v>
      </c>
    </row>
    <row r="740" spans="2:4">
      <c r="B740" s="2" t="s">
        <v>1508</v>
      </c>
      <c r="C740" t="s">
        <v>1509</v>
      </c>
      <c r="D740" s="4">
        <f>SUMIF('Stock In'!$C:$C,B:B,'Stock In'!$G:$G)</f>
        <v>0</v>
      </c>
    </row>
    <row r="741" spans="2:4">
      <c r="B741" s="2" t="s">
        <v>1510</v>
      </c>
      <c r="C741" t="s">
        <v>1511</v>
      </c>
      <c r="D741" s="4">
        <f>SUMIF('Stock In'!$C:$C,B:B,'Stock In'!$G:$G)</f>
        <v>0</v>
      </c>
    </row>
    <row r="742" spans="2:4">
      <c r="B742" s="2" t="s">
        <v>1512</v>
      </c>
      <c r="C742" t="s">
        <v>1513</v>
      </c>
      <c r="D742" s="4">
        <f>SUMIF('Stock In'!$C:$C,B:B,'Stock In'!$G:$G)</f>
        <v>0</v>
      </c>
    </row>
    <row r="743" spans="2:4">
      <c r="B743" s="2" t="s">
        <v>1514</v>
      </c>
      <c r="C743" t="s">
        <v>1515</v>
      </c>
      <c r="D743" s="4">
        <f>SUMIF('Stock In'!$C:$C,B:B,'Stock In'!$G:$G)</f>
        <v>0</v>
      </c>
    </row>
    <row r="744" spans="2:4">
      <c r="B744" s="2" t="s">
        <v>1516</v>
      </c>
      <c r="C744" t="s">
        <v>1517</v>
      </c>
      <c r="D744" s="4">
        <f>SUMIF('Stock In'!$C:$C,B:B,'Stock In'!$G:$G)</f>
        <v>0</v>
      </c>
    </row>
    <row r="745" spans="2:4">
      <c r="B745" s="2" t="s">
        <v>1518</v>
      </c>
      <c r="C745" t="s">
        <v>1519</v>
      </c>
      <c r="D745" s="4">
        <f>SUMIF('Stock In'!$C:$C,B:B,'Stock In'!$G:$G)</f>
        <v>0</v>
      </c>
    </row>
    <row r="746" spans="2:4">
      <c r="B746" s="2" t="s">
        <v>1520</v>
      </c>
      <c r="C746" t="s">
        <v>1521</v>
      </c>
      <c r="D746" s="4">
        <f>SUMIF('Stock In'!$C:$C,B:B,'Stock In'!$G:$G)</f>
        <v>0</v>
      </c>
    </row>
    <row r="747" spans="2:4">
      <c r="B747" s="2" t="s">
        <v>1522</v>
      </c>
      <c r="C747" t="s">
        <v>1523</v>
      </c>
      <c r="D747" s="4">
        <f>SUMIF('Stock In'!$C:$C,B:B,'Stock In'!$G:$G)</f>
        <v>0</v>
      </c>
    </row>
    <row r="748" spans="2:4">
      <c r="B748" s="2" t="s">
        <v>1524</v>
      </c>
      <c r="C748" t="s">
        <v>1525</v>
      </c>
      <c r="D748" s="4">
        <f>SUMIF('Stock In'!$C:$C,B:B,'Stock In'!$G:$G)</f>
        <v>0</v>
      </c>
    </row>
    <row r="749" spans="2:4">
      <c r="B749" s="2" t="s">
        <v>1526</v>
      </c>
      <c r="C749" t="s">
        <v>1527</v>
      </c>
      <c r="D749" s="4">
        <f>SUMIF('Stock In'!$C:$C,B:B,'Stock In'!$G:$G)</f>
        <v>0</v>
      </c>
    </row>
    <row r="750" spans="2:4">
      <c r="B750" s="2" t="s">
        <v>1528</v>
      </c>
      <c r="C750" t="s">
        <v>1529</v>
      </c>
      <c r="D750" s="4">
        <f>SUMIF('Stock In'!$C:$C,B:B,'Stock In'!$G:$G)</f>
        <v>0</v>
      </c>
    </row>
    <row r="751" spans="2:4">
      <c r="B751" s="2" t="s">
        <v>1530</v>
      </c>
      <c r="C751" t="s">
        <v>1531</v>
      </c>
      <c r="D751" s="4">
        <f>SUMIF('Stock In'!$C:$C,B:B,'Stock In'!$G:$G)</f>
        <v>0</v>
      </c>
    </row>
    <row r="752" spans="2:4">
      <c r="B752" s="2" t="s">
        <v>1532</v>
      </c>
      <c r="C752" t="s">
        <v>1533</v>
      </c>
      <c r="D752" s="4">
        <f>SUMIF('Stock In'!$C:$C,B:B,'Stock In'!$G:$G)</f>
        <v>0</v>
      </c>
    </row>
    <row r="753" spans="2:4">
      <c r="B753" s="2" t="s">
        <v>1534</v>
      </c>
      <c r="C753" t="s">
        <v>1535</v>
      </c>
      <c r="D753" s="4">
        <f>SUMIF('Stock In'!$C:$C,B:B,'Stock In'!$G:$G)</f>
        <v>0</v>
      </c>
    </row>
    <row r="754" spans="2:4">
      <c r="B754" s="2" t="s">
        <v>1536</v>
      </c>
      <c r="C754" t="s">
        <v>1537</v>
      </c>
      <c r="D754" s="4">
        <f>SUMIF('Stock In'!$C:$C,B:B,'Stock In'!$G:$G)</f>
        <v>0</v>
      </c>
    </row>
    <row r="755" spans="2:4">
      <c r="B755" s="2" t="s">
        <v>1538</v>
      </c>
      <c r="C755" t="s">
        <v>1539</v>
      </c>
      <c r="D755" s="4">
        <f>SUMIF('Stock In'!$C:$C,B:B,'Stock In'!$G:$G)</f>
        <v>0</v>
      </c>
    </row>
    <row r="756" spans="2:4">
      <c r="B756" s="2" t="s">
        <v>1540</v>
      </c>
      <c r="C756" t="s">
        <v>1541</v>
      </c>
      <c r="D756" s="4">
        <f>SUMIF('Stock In'!$C:$C,B:B,'Stock In'!$G:$G)</f>
        <v>0</v>
      </c>
    </row>
    <row r="757" spans="2:4">
      <c r="B757" s="2" t="s">
        <v>1542</v>
      </c>
      <c r="C757" t="s">
        <v>1543</v>
      </c>
      <c r="D757" s="4">
        <f>SUMIF('Stock In'!$C:$C,B:B,'Stock In'!$G:$G)</f>
        <v>0</v>
      </c>
    </row>
    <row r="758" spans="2:4">
      <c r="B758" s="2" t="s">
        <v>1544</v>
      </c>
      <c r="C758" t="s">
        <v>1545</v>
      </c>
      <c r="D758" s="4">
        <f>SUMIF('Stock In'!$C:$C,B:B,'Stock In'!$G:$G)</f>
        <v>0</v>
      </c>
    </row>
    <row r="759" spans="2:4">
      <c r="B759" s="2" t="s">
        <v>1546</v>
      </c>
      <c r="C759" t="s">
        <v>1547</v>
      </c>
      <c r="D759" s="4">
        <f>SUMIF('Stock In'!$C:$C,B:B,'Stock In'!$G:$G)</f>
        <v>0</v>
      </c>
    </row>
    <row r="760" spans="2:4">
      <c r="B760" s="2" t="s">
        <v>1548</v>
      </c>
      <c r="C760" t="s">
        <v>1549</v>
      </c>
      <c r="D760" s="4">
        <f>SUMIF('Stock In'!$C:$C,B:B,'Stock In'!$G:$G)</f>
        <v>0</v>
      </c>
    </row>
    <row r="761" spans="2:4">
      <c r="B761" s="2" t="s">
        <v>1550</v>
      </c>
      <c r="C761" t="s">
        <v>1551</v>
      </c>
      <c r="D761" s="4">
        <f>SUMIF('Stock In'!$C:$C,B:B,'Stock In'!$G:$G)</f>
        <v>0</v>
      </c>
    </row>
    <row r="762" spans="2:4">
      <c r="B762" s="2" t="s">
        <v>1552</v>
      </c>
      <c r="C762" t="s">
        <v>1553</v>
      </c>
      <c r="D762" s="4">
        <f>SUMIF('Stock In'!$C:$C,B:B,'Stock In'!$G:$G)</f>
        <v>0</v>
      </c>
    </row>
    <row r="763" spans="2:4">
      <c r="B763" s="2" t="s">
        <v>1554</v>
      </c>
      <c r="C763" t="s">
        <v>1555</v>
      </c>
      <c r="D763" s="4">
        <f>SUMIF('Stock In'!$C:$C,B:B,'Stock In'!$G:$G)</f>
        <v>0</v>
      </c>
    </row>
    <row r="764" spans="2:4">
      <c r="B764" s="2" t="s">
        <v>1556</v>
      </c>
      <c r="C764" t="s">
        <v>1557</v>
      </c>
      <c r="D764" s="4">
        <f>SUMIF('Stock In'!$C:$C,B:B,'Stock In'!$G:$G)</f>
        <v>0</v>
      </c>
    </row>
    <row r="765" spans="2:4">
      <c r="B765" s="2" t="s">
        <v>1558</v>
      </c>
      <c r="C765" t="s">
        <v>1559</v>
      </c>
      <c r="D765" s="4">
        <f>SUMIF('Stock In'!$C:$C,B:B,'Stock In'!$G:$G)</f>
        <v>0</v>
      </c>
    </row>
    <row r="766" spans="2:4">
      <c r="B766" s="2" t="s">
        <v>1560</v>
      </c>
      <c r="C766" t="s">
        <v>1561</v>
      </c>
      <c r="D766" s="4">
        <f>SUMIF('Stock In'!$C:$C,B:B,'Stock In'!$G:$G)</f>
        <v>0</v>
      </c>
    </row>
    <row r="767" spans="2:4">
      <c r="B767" s="2" t="s">
        <v>1562</v>
      </c>
      <c r="C767" t="s">
        <v>1563</v>
      </c>
      <c r="D767" s="4">
        <f>SUMIF('Stock In'!$C:$C,B:B,'Stock In'!$G:$G)</f>
        <v>0</v>
      </c>
    </row>
    <row r="768" spans="2:4">
      <c r="B768" s="2" t="s">
        <v>1564</v>
      </c>
      <c r="C768" t="s">
        <v>1565</v>
      </c>
      <c r="D768" s="4">
        <f>SUMIF('Stock In'!$C:$C,B:B,'Stock In'!$G:$G)</f>
        <v>0</v>
      </c>
    </row>
    <row r="769" spans="2:4">
      <c r="B769" s="2" t="s">
        <v>1566</v>
      </c>
      <c r="C769" t="s">
        <v>1567</v>
      </c>
      <c r="D769" s="4">
        <f>SUMIF('Stock In'!$C:$C,B:B,'Stock In'!$G:$G)</f>
        <v>0</v>
      </c>
    </row>
    <row r="770" spans="2:4">
      <c r="B770" s="2" t="s">
        <v>1568</v>
      </c>
      <c r="C770" t="s">
        <v>1569</v>
      </c>
      <c r="D770" s="4">
        <f>SUMIF('Stock In'!$C:$C,B:B,'Stock In'!$G:$G)</f>
        <v>0</v>
      </c>
    </row>
    <row r="771" spans="2:4">
      <c r="B771" s="2" t="s">
        <v>1570</v>
      </c>
      <c r="C771" t="s">
        <v>1571</v>
      </c>
      <c r="D771" s="4">
        <f>SUMIF('Stock In'!$C:$C,B:B,'Stock In'!$G:$G)</f>
        <v>0</v>
      </c>
    </row>
    <row r="772" spans="2:4">
      <c r="B772" s="2" t="s">
        <v>1572</v>
      </c>
      <c r="C772" t="s">
        <v>1573</v>
      </c>
      <c r="D772" s="4">
        <f>SUMIF('Stock In'!$C:$C,B:B,'Stock In'!$G:$G)</f>
        <v>0</v>
      </c>
    </row>
    <row r="773" spans="2:4">
      <c r="B773" s="2" t="s">
        <v>1574</v>
      </c>
      <c r="C773" t="s">
        <v>1575</v>
      </c>
      <c r="D773" s="4">
        <f>SUMIF('Stock In'!$C:$C,B:B,'Stock In'!$G:$G)</f>
        <v>0</v>
      </c>
    </row>
    <row r="774" spans="2:4">
      <c r="B774" s="2" t="s">
        <v>1576</v>
      </c>
      <c r="C774" t="s">
        <v>1577</v>
      </c>
      <c r="D774" s="4">
        <f>SUMIF('Stock In'!$C:$C,B:B,'Stock In'!$G:$G)</f>
        <v>0</v>
      </c>
    </row>
    <row r="775" spans="2:4">
      <c r="B775" s="2" t="s">
        <v>1578</v>
      </c>
      <c r="C775" t="s">
        <v>1579</v>
      </c>
      <c r="D775" s="4">
        <f>SUMIF('Stock In'!$C:$C,B:B,'Stock In'!$G:$G)</f>
        <v>0</v>
      </c>
    </row>
    <row r="776" spans="2:4">
      <c r="B776" s="2" t="s">
        <v>1580</v>
      </c>
      <c r="C776" t="s">
        <v>1581</v>
      </c>
      <c r="D776" s="4">
        <f>SUMIF('Stock In'!$C:$C,B:B,'Stock In'!$G:$G)</f>
        <v>0</v>
      </c>
    </row>
    <row r="777" spans="2:4">
      <c r="B777" s="2" t="s">
        <v>1582</v>
      </c>
      <c r="C777" t="s">
        <v>1583</v>
      </c>
      <c r="D777" s="4">
        <f>SUMIF('Stock In'!$C:$C,B:B,'Stock In'!$G:$G)</f>
        <v>0</v>
      </c>
    </row>
    <row r="778" spans="2:4">
      <c r="B778" s="2" t="s">
        <v>1584</v>
      </c>
      <c r="C778" t="s">
        <v>1585</v>
      </c>
      <c r="D778" s="4">
        <f>SUMIF('Stock In'!$C:$C,B:B,'Stock In'!$G:$G)</f>
        <v>0</v>
      </c>
    </row>
    <row r="779" spans="2:4">
      <c r="B779" s="2" t="s">
        <v>1586</v>
      </c>
      <c r="C779" t="s">
        <v>1587</v>
      </c>
      <c r="D779" s="4">
        <f>SUMIF('Stock In'!$C:$C,B:B,'Stock In'!$G:$G)</f>
        <v>0</v>
      </c>
    </row>
    <row r="780" spans="2:4">
      <c r="B780" s="2" t="s">
        <v>1588</v>
      </c>
      <c r="C780" t="s">
        <v>1589</v>
      </c>
      <c r="D780" s="4">
        <f>SUMIF('Stock In'!$C:$C,B:B,'Stock In'!$G:$G)</f>
        <v>0</v>
      </c>
    </row>
    <row r="781" spans="2:4">
      <c r="B781" s="2" t="s">
        <v>1590</v>
      </c>
      <c r="C781" t="s">
        <v>1591</v>
      </c>
      <c r="D781" s="4">
        <f>SUMIF('Stock In'!$C:$C,B:B,'Stock In'!$G:$G)</f>
        <v>0</v>
      </c>
    </row>
    <row r="782" spans="2:4">
      <c r="B782" s="2" t="s">
        <v>1592</v>
      </c>
      <c r="C782" t="s">
        <v>1593</v>
      </c>
      <c r="D782" s="4">
        <f>SUMIF('Stock In'!$C:$C,B:B,'Stock In'!$G:$G)</f>
        <v>0</v>
      </c>
    </row>
    <row r="783" spans="2:4">
      <c r="B783" s="2" t="s">
        <v>1594</v>
      </c>
      <c r="C783" t="s">
        <v>1595</v>
      </c>
      <c r="D783" s="4">
        <f>SUMIF('Stock In'!$C:$C,B:B,'Stock In'!$G:$G)</f>
        <v>0</v>
      </c>
    </row>
    <row r="784" spans="2:4">
      <c r="B784" s="2" t="s">
        <v>1596</v>
      </c>
      <c r="C784" t="s">
        <v>1597</v>
      </c>
      <c r="D784" s="4">
        <f>SUMIF('Stock In'!$C:$C,B:B,'Stock In'!$G:$G)</f>
        <v>0</v>
      </c>
    </row>
    <row r="785" spans="2:4">
      <c r="B785" s="2" t="s">
        <v>1598</v>
      </c>
      <c r="C785" t="s">
        <v>1599</v>
      </c>
      <c r="D785" s="4">
        <f>SUMIF('Stock In'!$C:$C,B:B,'Stock In'!$G:$G)</f>
        <v>0</v>
      </c>
    </row>
    <row r="786" spans="2:4">
      <c r="B786" s="2" t="s">
        <v>1600</v>
      </c>
      <c r="C786" t="s">
        <v>1601</v>
      </c>
      <c r="D786" s="4">
        <f>SUMIF('Stock In'!$C:$C,B:B,'Stock In'!$G:$G)</f>
        <v>0</v>
      </c>
    </row>
    <row r="787" spans="2:4">
      <c r="B787" s="2" t="s">
        <v>1602</v>
      </c>
      <c r="C787" t="s">
        <v>1603</v>
      </c>
      <c r="D787" s="4">
        <f>SUMIF('Stock In'!$C:$C,B:B,'Stock In'!$G:$G)</f>
        <v>0</v>
      </c>
    </row>
    <row r="788" spans="2:4">
      <c r="B788" s="2" t="s">
        <v>1604</v>
      </c>
      <c r="C788" t="s">
        <v>1605</v>
      </c>
      <c r="D788" s="4">
        <f>SUMIF('Stock In'!$C:$C,B:B,'Stock In'!$G:$G)</f>
        <v>0</v>
      </c>
    </row>
    <row r="789" spans="2:4">
      <c r="B789" s="2" t="s">
        <v>1606</v>
      </c>
      <c r="C789" t="s">
        <v>1607</v>
      </c>
      <c r="D789" s="4">
        <f>SUMIF('Stock In'!$C:$C,B:B,'Stock In'!$G:$G)</f>
        <v>0</v>
      </c>
    </row>
    <row r="790" spans="2:4">
      <c r="B790" s="2" t="s">
        <v>1608</v>
      </c>
      <c r="C790" t="s">
        <v>1609</v>
      </c>
      <c r="D790" s="4">
        <f>SUMIF('Stock In'!$C:$C,B:B,'Stock In'!$G:$G)</f>
        <v>0</v>
      </c>
    </row>
    <row r="791" spans="2:4">
      <c r="B791" s="2" t="s">
        <v>1610</v>
      </c>
      <c r="C791" t="s">
        <v>1611</v>
      </c>
      <c r="D791" s="4">
        <f>SUMIF('Stock In'!$C:$C,B:B,'Stock In'!$G:$G)</f>
        <v>0</v>
      </c>
    </row>
    <row r="792" spans="2:4">
      <c r="B792" s="2" t="s">
        <v>1612</v>
      </c>
      <c r="C792" t="s">
        <v>1613</v>
      </c>
      <c r="D792" s="4">
        <f>SUMIF('Stock In'!$C:$C,B:B,'Stock In'!$G:$G)</f>
        <v>0</v>
      </c>
    </row>
    <row r="793" spans="2:4">
      <c r="B793" s="2" t="s">
        <v>1614</v>
      </c>
      <c r="C793" t="s">
        <v>1615</v>
      </c>
      <c r="D793" s="4">
        <f>SUMIF('Stock In'!$C:$C,B:B,'Stock In'!$G:$G)</f>
        <v>0</v>
      </c>
    </row>
    <row r="794" spans="2:4">
      <c r="B794" s="2" t="s">
        <v>1616</v>
      </c>
      <c r="C794" t="s">
        <v>1617</v>
      </c>
      <c r="D794" s="4">
        <f>SUMIF('Stock In'!$C:$C,B:B,'Stock In'!$G:$G)</f>
        <v>0</v>
      </c>
    </row>
    <row r="795" spans="2:4">
      <c r="B795" s="2" t="s">
        <v>1618</v>
      </c>
      <c r="C795" t="s">
        <v>1619</v>
      </c>
      <c r="D795" s="4">
        <f>SUMIF('Stock In'!$C:$C,B:B,'Stock In'!$G:$G)</f>
        <v>0</v>
      </c>
    </row>
    <row r="796" spans="2:4">
      <c r="B796" s="2" t="s">
        <v>1620</v>
      </c>
      <c r="C796" t="s">
        <v>1621</v>
      </c>
      <c r="D796" s="4">
        <f>SUMIF('Stock In'!$C:$C,B:B,'Stock In'!$G:$G)</f>
        <v>0</v>
      </c>
    </row>
    <row r="797" spans="2:4">
      <c r="B797" s="2" t="s">
        <v>1622</v>
      </c>
      <c r="C797" t="s">
        <v>1623</v>
      </c>
      <c r="D797" s="4">
        <f>SUMIF('Stock In'!$C:$C,B:B,'Stock In'!$G:$G)</f>
        <v>0</v>
      </c>
    </row>
    <row r="798" spans="2:4">
      <c r="B798" s="2" t="s">
        <v>1624</v>
      </c>
      <c r="C798" t="s">
        <v>1625</v>
      </c>
      <c r="D798" s="4">
        <f>SUMIF('Stock In'!$C:$C,B:B,'Stock In'!$G:$G)</f>
        <v>0</v>
      </c>
    </row>
    <row r="799" spans="2:4">
      <c r="B799" s="2" t="s">
        <v>1626</v>
      </c>
      <c r="C799" t="s">
        <v>1627</v>
      </c>
      <c r="D799" s="4">
        <f>SUMIF('Stock In'!$C:$C,B:B,'Stock In'!$G:$G)</f>
        <v>0</v>
      </c>
    </row>
    <row r="800" spans="2:4">
      <c r="B800" s="2" t="s">
        <v>1628</v>
      </c>
      <c r="C800" t="s">
        <v>1629</v>
      </c>
      <c r="D800" s="4">
        <f>SUMIF('Stock In'!$C:$C,B:B,'Stock In'!$G:$G)</f>
        <v>0</v>
      </c>
    </row>
    <row r="801" spans="2:4">
      <c r="B801" s="2" t="s">
        <v>1630</v>
      </c>
      <c r="C801" t="s">
        <v>1631</v>
      </c>
      <c r="D801" s="4">
        <f>SUMIF('Stock In'!$C:$C,B:B,'Stock In'!$G:$G)</f>
        <v>0</v>
      </c>
    </row>
    <row r="802" spans="2:4">
      <c r="B802" s="2" t="s">
        <v>1632</v>
      </c>
      <c r="C802" t="s">
        <v>1633</v>
      </c>
      <c r="D802" s="4">
        <f>SUMIF('Stock In'!$C:$C,B:B,'Stock In'!$G:$G)</f>
        <v>0</v>
      </c>
    </row>
    <row r="803" spans="2:4">
      <c r="B803" s="2" t="s">
        <v>1634</v>
      </c>
      <c r="C803" t="s">
        <v>1635</v>
      </c>
      <c r="D803" s="4">
        <f>SUMIF('Stock In'!$C:$C,B:B,'Stock In'!$G:$G)</f>
        <v>0</v>
      </c>
    </row>
    <row r="804" spans="2:4">
      <c r="B804" s="2" t="s">
        <v>1636</v>
      </c>
      <c r="C804" t="s">
        <v>1637</v>
      </c>
      <c r="D804" s="4">
        <f>SUMIF('Stock In'!$C:$C,B:B,'Stock In'!$G:$G)</f>
        <v>0</v>
      </c>
    </row>
    <row r="805" spans="2:4">
      <c r="B805" s="2" t="s">
        <v>1638</v>
      </c>
      <c r="C805" t="s">
        <v>1639</v>
      </c>
      <c r="D805" s="4">
        <f>SUMIF('Stock In'!$C:$C,B:B,'Stock In'!$G:$G)</f>
        <v>0</v>
      </c>
    </row>
    <row r="806" spans="2:4">
      <c r="B806" s="2" t="s">
        <v>1640</v>
      </c>
      <c r="C806" t="s">
        <v>1641</v>
      </c>
      <c r="D806" s="4">
        <f>SUMIF('Stock In'!$C:$C,B:B,'Stock In'!$G:$G)</f>
        <v>0</v>
      </c>
    </row>
    <row r="807" spans="2:4">
      <c r="B807" s="2" t="s">
        <v>1642</v>
      </c>
      <c r="C807" t="s">
        <v>1643</v>
      </c>
      <c r="D807" s="4">
        <f>SUMIF('Stock In'!$C:$C,B:B,'Stock In'!$G:$G)</f>
        <v>0</v>
      </c>
    </row>
    <row r="808" spans="2:4">
      <c r="B808" s="2" t="s">
        <v>1644</v>
      </c>
      <c r="C808" t="s">
        <v>1645</v>
      </c>
      <c r="D808" s="4">
        <f>SUMIF('Stock In'!$C:$C,B:B,'Stock In'!$G:$G)</f>
        <v>0</v>
      </c>
    </row>
    <row r="809" spans="2:4">
      <c r="B809" s="2" t="s">
        <v>1646</v>
      </c>
      <c r="C809" t="s">
        <v>1647</v>
      </c>
      <c r="D809" s="4">
        <f>SUMIF('Stock In'!$C:$C,B:B,'Stock In'!$G:$G)</f>
        <v>0</v>
      </c>
    </row>
    <row r="810" spans="2:4">
      <c r="B810" s="2" t="s">
        <v>1648</v>
      </c>
      <c r="C810" t="s">
        <v>1649</v>
      </c>
      <c r="D810" s="4">
        <f>SUMIF('Stock In'!$C:$C,B:B,'Stock In'!$G:$G)</f>
        <v>0</v>
      </c>
    </row>
    <row r="811" spans="2:4">
      <c r="B811" s="2" t="s">
        <v>1650</v>
      </c>
      <c r="C811" t="s">
        <v>1651</v>
      </c>
      <c r="D811" s="4">
        <f>SUMIF('Stock In'!$C:$C,B:B,'Stock In'!$G:$G)</f>
        <v>0</v>
      </c>
    </row>
    <row r="812" spans="2:4">
      <c r="B812" s="2" t="s">
        <v>1652</v>
      </c>
      <c r="C812" t="s">
        <v>1653</v>
      </c>
      <c r="D812" s="4">
        <f>SUMIF('Stock In'!$C:$C,B:B,'Stock In'!$G:$G)</f>
        <v>0</v>
      </c>
    </row>
    <row r="813" spans="2:4">
      <c r="B813" s="2" t="s">
        <v>1654</v>
      </c>
      <c r="C813" t="s">
        <v>1655</v>
      </c>
      <c r="D813" s="4">
        <f>SUMIF('Stock In'!$C:$C,B:B,'Stock In'!$G:$G)</f>
        <v>0</v>
      </c>
    </row>
    <row r="814" spans="2:4">
      <c r="B814" s="2" t="s">
        <v>1656</v>
      </c>
      <c r="C814" t="s">
        <v>1657</v>
      </c>
      <c r="D814" s="4">
        <f>SUMIF('Stock In'!$C:$C,B:B,'Stock In'!$G:$G)</f>
        <v>0</v>
      </c>
    </row>
    <row r="815" spans="2:4">
      <c r="B815" s="2" t="s">
        <v>1658</v>
      </c>
      <c r="C815" t="s">
        <v>1659</v>
      </c>
      <c r="D815" s="4">
        <f>SUMIF('Stock In'!$C:$C,B:B,'Stock In'!$G:$G)</f>
        <v>0</v>
      </c>
    </row>
    <row r="816" spans="2:4">
      <c r="B816" s="2" t="s">
        <v>1660</v>
      </c>
      <c r="C816" t="s">
        <v>1661</v>
      </c>
      <c r="D816" s="4">
        <f>SUMIF('Stock In'!$C:$C,B:B,'Stock In'!$G:$G)</f>
        <v>0</v>
      </c>
    </row>
    <row r="817" spans="2:4">
      <c r="B817" s="2" t="s">
        <v>1662</v>
      </c>
      <c r="C817" t="s">
        <v>1663</v>
      </c>
      <c r="D817" s="4">
        <f>SUMIF('Stock In'!$C:$C,B:B,'Stock In'!$G:$G)</f>
        <v>0</v>
      </c>
    </row>
    <row r="818" spans="2:4">
      <c r="B818" s="2" t="s">
        <v>1664</v>
      </c>
      <c r="C818" t="s">
        <v>1665</v>
      </c>
      <c r="D818" s="4">
        <f>SUMIF('Stock In'!$C:$C,B:B,'Stock In'!$G:$G)</f>
        <v>0</v>
      </c>
    </row>
    <row r="819" spans="2:4">
      <c r="B819" s="2" t="s">
        <v>1666</v>
      </c>
      <c r="C819" t="s">
        <v>1667</v>
      </c>
      <c r="D819" s="4">
        <f>SUMIF('Stock In'!$C:$C,B:B,'Stock In'!$G:$G)</f>
        <v>0</v>
      </c>
    </row>
    <row r="820" spans="2:4">
      <c r="B820" s="2" t="s">
        <v>1668</v>
      </c>
      <c r="C820" t="s">
        <v>1669</v>
      </c>
      <c r="D820" s="4">
        <f>SUMIF('Stock In'!$C:$C,B:B,'Stock In'!$G:$G)</f>
        <v>0</v>
      </c>
    </row>
    <row r="821" spans="2:4">
      <c r="B821" s="2" t="s">
        <v>1670</v>
      </c>
      <c r="C821" t="s">
        <v>1671</v>
      </c>
      <c r="D821" s="4">
        <f>SUMIF('Stock In'!$C:$C,B:B,'Stock In'!$G:$G)</f>
        <v>0</v>
      </c>
    </row>
    <row r="822" spans="2:4">
      <c r="B822" s="2" t="s">
        <v>1672</v>
      </c>
      <c r="C822" t="s">
        <v>1673</v>
      </c>
      <c r="D822" s="4">
        <f>SUMIF('Stock In'!$C:$C,B:B,'Stock In'!$G:$G)</f>
        <v>0</v>
      </c>
    </row>
    <row r="823" spans="2:4">
      <c r="B823" s="2" t="s">
        <v>1674</v>
      </c>
      <c r="C823" t="s">
        <v>1675</v>
      </c>
      <c r="D823" s="4">
        <f>SUMIF('Stock In'!$C:$C,B:B,'Stock In'!$G:$G)</f>
        <v>0</v>
      </c>
    </row>
    <row r="824" spans="2:4">
      <c r="B824" s="2" t="s">
        <v>1676</v>
      </c>
      <c r="C824" t="s">
        <v>1677</v>
      </c>
      <c r="D824" s="4">
        <f>SUMIF('Stock In'!$C:$C,B:B,'Stock In'!$G:$G)</f>
        <v>0</v>
      </c>
    </row>
    <row r="825" spans="2:4">
      <c r="B825" s="2" t="s">
        <v>1678</v>
      </c>
      <c r="C825" t="s">
        <v>1679</v>
      </c>
      <c r="D825" s="4">
        <f>SUMIF('Stock In'!$C:$C,B:B,'Stock In'!$G:$G)</f>
        <v>0</v>
      </c>
    </row>
    <row r="826" spans="2:4">
      <c r="B826" s="2" t="s">
        <v>1680</v>
      </c>
      <c r="C826" t="s">
        <v>1681</v>
      </c>
      <c r="D826" s="4">
        <f>SUMIF('Stock In'!$C:$C,B:B,'Stock In'!$G:$G)</f>
        <v>0</v>
      </c>
    </row>
    <row r="827" spans="2:4">
      <c r="B827" s="2" t="s">
        <v>1682</v>
      </c>
      <c r="C827" t="s">
        <v>1683</v>
      </c>
      <c r="D827" s="4">
        <f>SUMIF('Stock In'!$C:$C,B:B,'Stock In'!$G:$G)</f>
        <v>0</v>
      </c>
    </row>
    <row r="828" spans="2:4">
      <c r="B828" s="2" t="s">
        <v>1684</v>
      </c>
      <c r="C828" t="s">
        <v>1685</v>
      </c>
      <c r="D828" s="4">
        <f>SUMIF('Stock In'!$C:$C,B:B,'Stock In'!$G:$G)</f>
        <v>0</v>
      </c>
    </row>
    <row r="829" spans="2:4">
      <c r="B829" s="2" t="s">
        <v>1686</v>
      </c>
      <c r="C829" t="s">
        <v>1687</v>
      </c>
      <c r="D829" s="4">
        <f>SUMIF('Stock In'!$C:$C,B:B,'Stock In'!$G:$G)</f>
        <v>0</v>
      </c>
    </row>
    <row r="830" spans="2:4">
      <c r="B830" s="2" t="s">
        <v>1688</v>
      </c>
      <c r="C830" t="s">
        <v>1689</v>
      </c>
      <c r="D830" s="4">
        <f>SUMIF('Stock In'!$C:$C,B:B,'Stock In'!$G:$G)</f>
        <v>0</v>
      </c>
    </row>
    <row r="831" spans="2:4">
      <c r="B831" s="2" t="s">
        <v>1690</v>
      </c>
      <c r="C831" t="s">
        <v>1691</v>
      </c>
      <c r="D831" s="4">
        <f>SUMIF('Stock In'!$C:$C,B:B,'Stock In'!$G:$G)</f>
        <v>0</v>
      </c>
    </row>
    <row r="832" spans="2:4">
      <c r="B832" s="2" t="s">
        <v>1692</v>
      </c>
      <c r="C832" t="s">
        <v>1693</v>
      </c>
      <c r="D832" s="4">
        <f>SUMIF('Stock In'!$C:$C,B:B,'Stock In'!$G:$G)</f>
        <v>0</v>
      </c>
    </row>
    <row r="833" spans="2:4">
      <c r="B833" s="2" t="s">
        <v>1694</v>
      </c>
      <c r="C833" t="s">
        <v>1695</v>
      </c>
      <c r="D833" s="4">
        <f>SUMIF('Stock In'!$C:$C,B:B,'Stock In'!$G:$G)</f>
        <v>0</v>
      </c>
    </row>
    <row r="834" spans="2:4">
      <c r="B834" s="2" t="s">
        <v>1696</v>
      </c>
      <c r="C834" t="s">
        <v>1697</v>
      </c>
      <c r="D834" s="4">
        <f>SUMIF('Stock In'!$C:$C,B:B,'Stock In'!$G:$G)</f>
        <v>0</v>
      </c>
    </row>
    <row r="835" spans="2:4">
      <c r="B835" s="2" t="s">
        <v>1698</v>
      </c>
      <c r="C835" t="s">
        <v>1699</v>
      </c>
      <c r="D835" s="4">
        <f>SUMIF('Stock In'!$C:$C,B:B,'Stock In'!$G:$G)</f>
        <v>0</v>
      </c>
    </row>
    <row r="836" spans="2:4">
      <c r="B836" s="2" t="s">
        <v>1700</v>
      </c>
      <c r="C836" t="s">
        <v>1701</v>
      </c>
      <c r="D836" s="4">
        <f>SUMIF('Stock In'!$C:$C,B:B,'Stock In'!$G:$G)</f>
        <v>0</v>
      </c>
    </row>
    <row r="837" spans="2:4">
      <c r="B837" s="2" t="s">
        <v>1702</v>
      </c>
      <c r="C837" t="s">
        <v>1703</v>
      </c>
      <c r="D837" s="4">
        <f>SUMIF('Stock In'!$C:$C,B:B,'Stock In'!$G:$G)</f>
        <v>0</v>
      </c>
    </row>
    <row r="838" spans="2:4">
      <c r="B838" s="2" t="s">
        <v>1704</v>
      </c>
      <c r="C838" t="s">
        <v>1705</v>
      </c>
      <c r="D838" s="4">
        <f>SUMIF('Stock In'!$C:$C,B:B,'Stock In'!$G:$G)</f>
        <v>0</v>
      </c>
    </row>
    <row r="839" spans="2:4">
      <c r="B839" s="2" t="s">
        <v>1706</v>
      </c>
      <c r="C839" t="s">
        <v>1707</v>
      </c>
      <c r="D839" s="4">
        <f>SUMIF('Stock In'!$C:$C,B:B,'Stock In'!$G:$G)</f>
        <v>0</v>
      </c>
    </row>
    <row r="840" spans="2:4">
      <c r="B840" s="2" t="s">
        <v>1708</v>
      </c>
      <c r="C840" t="s">
        <v>1709</v>
      </c>
      <c r="D840" s="4">
        <f>SUMIF('Stock In'!$C:$C,B:B,'Stock In'!$G:$G)</f>
        <v>0</v>
      </c>
    </row>
    <row r="841" spans="2:4">
      <c r="B841" s="2" t="s">
        <v>1710</v>
      </c>
      <c r="C841" t="s">
        <v>1711</v>
      </c>
      <c r="D841" s="4">
        <f>SUMIF('Stock In'!$C:$C,B:B,'Stock In'!$G:$G)</f>
        <v>0</v>
      </c>
    </row>
    <row r="842" spans="2:4">
      <c r="B842" s="2" t="s">
        <v>1712</v>
      </c>
      <c r="C842" t="s">
        <v>1713</v>
      </c>
      <c r="D842" s="4">
        <f>SUMIF('Stock In'!$C:$C,B:B,'Stock In'!$G:$G)</f>
        <v>0</v>
      </c>
    </row>
    <row r="843" spans="2:4">
      <c r="B843" s="2" t="s">
        <v>1714</v>
      </c>
      <c r="C843" t="s">
        <v>1715</v>
      </c>
      <c r="D843" s="4">
        <f>SUMIF('Stock In'!$C:$C,B:B,'Stock In'!$G:$G)</f>
        <v>0</v>
      </c>
    </row>
    <row r="844" spans="2:4">
      <c r="B844" s="2" t="s">
        <v>1716</v>
      </c>
      <c r="C844" t="s">
        <v>1717</v>
      </c>
      <c r="D844" s="4">
        <f>SUMIF('Stock In'!$C:$C,B:B,'Stock In'!$G:$G)</f>
        <v>0</v>
      </c>
    </row>
    <row r="845" spans="2:4">
      <c r="B845" s="2" t="s">
        <v>1718</v>
      </c>
      <c r="C845" t="s">
        <v>1719</v>
      </c>
      <c r="D845" s="4">
        <f>SUMIF('Stock In'!$C:$C,B:B,'Stock In'!$G:$G)</f>
        <v>0</v>
      </c>
    </row>
    <row r="846" spans="2:4">
      <c r="B846" s="2" t="s">
        <v>1720</v>
      </c>
      <c r="C846" t="s">
        <v>1721</v>
      </c>
      <c r="D846" s="4">
        <f>SUMIF('Stock In'!$C:$C,B:B,'Stock In'!$G:$G)</f>
        <v>0</v>
      </c>
    </row>
    <row r="847" spans="2:4">
      <c r="B847" s="2" t="s">
        <v>1722</v>
      </c>
      <c r="C847" t="s">
        <v>1723</v>
      </c>
      <c r="D847" s="4">
        <f>SUMIF('Stock In'!$C:$C,B:B,'Stock In'!$G:$G)</f>
        <v>0</v>
      </c>
    </row>
    <row r="848" spans="2:4">
      <c r="B848" s="2" t="s">
        <v>1724</v>
      </c>
      <c r="C848" t="s">
        <v>1725</v>
      </c>
      <c r="D848" s="4">
        <f>SUMIF('Stock In'!$C:$C,B:B,'Stock In'!$G:$G)</f>
        <v>0</v>
      </c>
    </row>
    <row r="849" spans="2:4">
      <c r="B849" s="2" t="s">
        <v>1726</v>
      </c>
      <c r="C849" t="s">
        <v>1727</v>
      </c>
      <c r="D849" s="4">
        <f>SUMIF('Stock In'!$C:$C,B:B,'Stock In'!$G:$G)</f>
        <v>0</v>
      </c>
    </row>
    <row r="850" spans="2:4">
      <c r="B850" s="2" t="s">
        <v>1728</v>
      </c>
      <c r="C850" t="s">
        <v>1729</v>
      </c>
      <c r="D850" s="4">
        <f>SUMIF('Stock In'!$C:$C,B:B,'Stock In'!$G:$G)</f>
        <v>0</v>
      </c>
    </row>
    <row r="851" spans="2:4">
      <c r="B851" s="2" t="s">
        <v>1730</v>
      </c>
      <c r="C851" t="s">
        <v>1731</v>
      </c>
      <c r="D851" s="4">
        <f>SUMIF('Stock In'!$C:$C,B:B,'Stock In'!$G:$G)</f>
        <v>0</v>
      </c>
    </row>
    <row r="852" spans="2:4">
      <c r="B852" s="2" t="s">
        <v>1732</v>
      </c>
      <c r="C852" t="s">
        <v>1733</v>
      </c>
      <c r="D852" s="4">
        <f>SUMIF('Stock In'!$C:$C,B:B,'Stock In'!$G:$G)</f>
        <v>0</v>
      </c>
    </row>
    <row r="853" spans="2:4">
      <c r="B853" s="2" t="s">
        <v>1734</v>
      </c>
      <c r="C853" t="s">
        <v>1735</v>
      </c>
      <c r="D853" s="4">
        <f>SUMIF('Stock In'!$C:$C,B:B,'Stock In'!$G:$G)</f>
        <v>0</v>
      </c>
    </row>
    <row r="854" spans="2:4">
      <c r="B854" s="2" t="s">
        <v>1736</v>
      </c>
      <c r="C854" t="s">
        <v>1737</v>
      </c>
      <c r="D854" s="4">
        <f>SUMIF('Stock In'!$C:$C,B:B,'Stock In'!$G:$G)</f>
        <v>0</v>
      </c>
    </row>
    <row r="855" spans="2:4">
      <c r="B855" s="2" t="s">
        <v>1738</v>
      </c>
      <c r="C855" t="s">
        <v>1739</v>
      </c>
      <c r="D855" s="4">
        <f>SUMIF('Stock In'!$C:$C,B:B,'Stock In'!$G:$G)</f>
        <v>0</v>
      </c>
    </row>
    <row r="856" spans="2:4">
      <c r="B856" s="2" t="s">
        <v>1740</v>
      </c>
      <c r="C856" t="s">
        <v>1741</v>
      </c>
      <c r="D856" s="4">
        <f>SUMIF('Stock In'!$C:$C,B:B,'Stock In'!$G:$G)</f>
        <v>0</v>
      </c>
    </row>
    <row r="857" spans="2:4">
      <c r="B857" s="2" t="s">
        <v>1742</v>
      </c>
      <c r="C857" t="s">
        <v>1743</v>
      </c>
      <c r="D857" s="4">
        <f>SUMIF('Stock In'!$C:$C,B:B,'Stock In'!$G:$G)</f>
        <v>0</v>
      </c>
    </row>
    <row r="858" spans="2:4">
      <c r="B858" s="2" t="s">
        <v>1744</v>
      </c>
      <c r="C858" t="s">
        <v>1745</v>
      </c>
      <c r="D858" s="4">
        <f>SUMIF('Stock In'!$C:$C,B:B,'Stock In'!$G:$G)</f>
        <v>0</v>
      </c>
    </row>
    <row r="859" spans="2:4">
      <c r="B859" s="2" t="s">
        <v>1746</v>
      </c>
      <c r="C859" t="s">
        <v>1747</v>
      </c>
      <c r="D859" s="4">
        <f>SUMIF('Stock In'!$C:$C,B:B,'Stock In'!$G:$G)</f>
        <v>0</v>
      </c>
    </row>
    <row r="860" spans="2:4">
      <c r="B860" s="2" t="s">
        <v>1748</v>
      </c>
      <c r="C860" t="s">
        <v>1749</v>
      </c>
      <c r="D860" s="4">
        <f>SUMIF('Stock In'!$C:$C,B:B,'Stock In'!$G:$G)</f>
        <v>0</v>
      </c>
    </row>
    <row r="861" spans="2:4">
      <c r="B861" s="2" t="s">
        <v>1750</v>
      </c>
      <c r="C861" t="s">
        <v>1751</v>
      </c>
      <c r="D861" s="4">
        <f>SUMIF('Stock In'!$C:$C,B:B,'Stock In'!$G:$G)</f>
        <v>0</v>
      </c>
    </row>
    <row r="862" spans="2:4">
      <c r="B862" s="2" t="s">
        <v>1752</v>
      </c>
      <c r="C862" t="s">
        <v>1753</v>
      </c>
      <c r="D862" s="4">
        <f>SUMIF('Stock In'!$C:$C,B:B,'Stock In'!$G:$G)</f>
        <v>0</v>
      </c>
    </row>
    <row r="863" spans="2:4">
      <c r="B863" s="2" t="s">
        <v>1754</v>
      </c>
      <c r="C863" t="s">
        <v>1755</v>
      </c>
      <c r="D863" s="4">
        <f>SUMIF('Stock In'!$C:$C,B:B,'Stock In'!$G:$G)</f>
        <v>0</v>
      </c>
    </row>
    <row r="864" spans="2:4">
      <c r="B864" s="2" t="s">
        <v>1756</v>
      </c>
      <c r="C864" t="s">
        <v>1757</v>
      </c>
      <c r="D864" s="4">
        <f>SUMIF('Stock In'!$C:$C,B:B,'Stock In'!$G:$G)</f>
        <v>0</v>
      </c>
    </row>
    <row r="865" spans="2:4">
      <c r="B865" s="2" t="s">
        <v>1758</v>
      </c>
      <c r="C865" t="s">
        <v>1759</v>
      </c>
      <c r="D865" s="4">
        <f>SUMIF('Stock In'!$C:$C,B:B,'Stock In'!$G:$G)</f>
        <v>0</v>
      </c>
    </row>
    <row r="866" spans="2:4">
      <c r="B866" s="2" t="s">
        <v>1760</v>
      </c>
      <c r="C866" t="s">
        <v>1761</v>
      </c>
      <c r="D866" s="4">
        <f>SUMIF('Stock In'!$C:$C,B:B,'Stock In'!$G:$G)</f>
        <v>0</v>
      </c>
    </row>
    <row r="867" spans="2:4">
      <c r="B867" s="2" t="s">
        <v>1762</v>
      </c>
      <c r="C867" t="s">
        <v>1763</v>
      </c>
      <c r="D867" s="4">
        <f>SUMIF('Stock In'!$C:$C,B:B,'Stock In'!$G:$G)</f>
        <v>0</v>
      </c>
    </row>
    <row r="868" spans="2:4">
      <c r="B868" s="2" t="s">
        <v>1764</v>
      </c>
      <c r="C868" t="s">
        <v>1765</v>
      </c>
      <c r="D868" s="4">
        <f>SUMIF('Stock In'!$C:$C,B:B,'Stock In'!$G:$G)</f>
        <v>0</v>
      </c>
    </row>
    <row r="869" spans="2:4">
      <c r="B869" s="2" t="s">
        <v>1766</v>
      </c>
      <c r="C869" t="s">
        <v>1767</v>
      </c>
      <c r="D869" s="4">
        <f>SUMIF('Stock In'!$C:$C,B:B,'Stock In'!$G:$G)</f>
        <v>0</v>
      </c>
    </row>
    <row r="870" spans="2:4">
      <c r="B870" s="2" t="s">
        <v>1768</v>
      </c>
      <c r="C870" t="s">
        <v>1769</v>
      </c>
      <c r="D870" s="4">
        <f>SUMIF('Stock In'!$C:$C,B:B,'Stock In'!$G:$G)</f>
        <v>0</v>
      </c>
    </row>
    <row r="871" spans="2:4">
      <c r="B871" s="2" t="s">
        <v>1770</v>
      </c>
      <c r="C871" t="s">
        <v>1771</v>
      </c>
      <c r="D871" s="4">
        <f>SUMIF('Stock In'!$C:$C,B:B,'Stock In'!$G:$G)</f>
        <v>0</v>
      </c>
    </row>
    <row r="872" spans="2:4">
      <c r="B872" s="2" t="s">
        <v>1772</v>
      </c>
      <c r="C872" t="s">
        <v>1773</v>
      </c>
      <c r="D872" s="4">
        <f>SUMIF('Stock In'!$C:$C,B:B,'Stock In'!$G:$G)</f>
        <v>0</v>
      </c>
    </row>
    <row r="873" spans="2:4">
      <c r="B873" s="2" t="s">
        <v>1774</v>
      </c>
      <c r="C873" t="s">
        <v>1775</v>
      </c>
      <c r="D873" s="4">
        <f>SUMIF('Stock In'!$C:$C,B:B,'Stock In'!$G:$G)</f>
        <v>0</v>
      </c>
    </row>
    <row r="874" spans="2:4">
      <c r="B874" s="2" t="s">
        <v>1776</v>
      </c>
      <c r="C874" t="s">
        <v>1777</v>
      </c>
      <c r="D874" s="4">
        <f>SUMIF('Stock In'!$C:$C,B:B,'Stock In'!$G:$G)</f>
        <v>0</v>
      </c>
    </row>
    <row r="875" spans="2:4">
      <c r="B875" s="2" t="s">
        <v>1778</v>
      </c>
      <c r="C875" t="s">
        <v>1779</v>
      </c>
      <c r="D875" s="4">
        <f>SUMIF('Stock In'!$C:$C,B:B,'Stock In'!$G:$G)</f>
        <v>0</v>
      </c>
    </row>
    <row r="876" spans="2:4">
      <c r="B876" s="2" t="s">
        <v>1780</v>
      </c>
      <c r="C876" t="s">
        <v>1781</v>
      </c>
      <c r="D876" s="4">
        <f>SUMIF('Stock In'!$C:$C,B:B,'Stock In'!$G:$G)</f>
        <v>0</v>
      </c>
    </row>
    <row r="877" spans="2:4">
      <c r="B877" s="2" t="s">
        <v>1782</v>
      </c>
      <c r="C877" t="s">
        <v>1783</v>
      </c>
      <c r="D877" s="4">
        <f>SUMIF('Stock In'!$C:$C,B:B,'Stock In'!$G:$G)</f>
        <v>0</v>
      </c>
    </row>
    <row r="878" spans="2:4">
      <c r="B878" s="2" t="s">
        <v>1784</v>
      </c>
      <c r="C878" t="s">
        <v>1785</v>
      </c>
      <c r="D878" s="4">
        <f>SUMIF('Stock In'!$C:$C,B:B,'Stock In'!$G:$G)</f>
        <v>0</v>
      </c>
    </row>
    <row r="879" spans="2:4">
      <c r="B879" s="2" t="s">
        <v>1786</v>
      </c>
      <c r="C879" t="s">
        <v>1787</v>
      </c>
      <c r="D879" s="4">
        <f>SUMIF('Stock In'!$C:$C,B:B,'Stock In'!$G:$G)</f>
        <v>0</v>
      </c>
    </row>
    <row r="880" spans="2:4">
      <c r="B880" s="2" t="s">
        <v>1788</v>
      </c>
      <c r="C880" t="s">
        <v>1789</v>
      </c>
      <c r="D880" s="4">
        <f>SUMIF('Stock In'!$C:$C,B:B,'Stock In'!$G:$G)</f>
        <v>0</v>
      </c>
    </row>
    <row r="881" spans="2:4">
      <c r="B881" s="2" t="s">
        <v>1790</v>
      </c>
      <c r="C881" t="s">
        <v>1791</v>
      </c>
      <c r="D881" s="4">
        <f>SUMIF('Stock In'!$C:$C,B:B,'Stock In'!$G:$G)</f>
        <v>0</v>
      </c>
    </row>
    <row r="882" spans="2:4">
      <c r="B882" s="2" t="s">
        <v>1792</v>
      </c>
      <c r="C882" t="s">
        <v>1793</v>
      </c>
      <c r="D882" s="4">
        <f>SUMIF('Stock In'!$C:$C,B:B,'Stock In'!$G:$G)</f>
        <v>0</v>
      </c>
    </row>
    <row r="883" spans="2:4">
      <c r="B883" s="2" t="s">
        <v>1794</v>
      </c>
      <c r="C883" t="s">
        <v>1795</v>
      </c>
      <c r="D883" s="4">
        <f>SUMIF('Stock In'!$C:$C,B:B,'Stock In'!$G:$G)</f>
        <v>0</v>
      </c>
    </row>
    <row r="884" spans="2:4">
      <c r="B884" s="2" t="s">
        <v>1796</v>
      </c>
      <c r="C884" t="s">
        <v>1797</v>
      </c>
      <c r="D884" s="4">
        <f>SUMIF('Stock In'!$C:$C,B:B,'Stock In'!$G:$G)</f>
        <v>0</v>
      </c>
    </row>
    <row r="885" spans="2:4">
      <c r="B885" s="2" t="s">
        <v>1798</v>
      </c>
      <c r="C885" t="s">
        <v>1799</v>
      </c>
      <c r="D885" s="4">
        <f>SUMIF('Stock In'!$C:$C,B:B,'Stock In'!$G:$G)</f>
        <v>0</v>
      </c>
    </row>
    <row r="886" spans="2:4">
      <c r="B886" s="2" t="s">
        <v>1800</v>
      </c>
      <c r="C886" t="s">
        <v>1801</v>
      </c>
      <c r="D886" s="4">
        <f>SUMIF('Stock In'!$C:$C,B:B,'Stock In'!$G:$G)</f>
        <v>0</v>
      </c>
    </row>
    <row r="887" spans="2:4">
      <c r="B887" s="2" t="s">
        <v>1802</v>
      </c>
      <c r="C887" t="s">
        <v>1803</v>
      </c>
      <c r="D887" s="4">
        <f>SUMIF('Stock In'!$C:$C,B:B,'Stock In'!$G:$G)</f>
        <v>0</v>
      </c>
    </row>
    <row r="888" spans="2:4">
      <c r="B888" s="2" t="s">
        <v>1804</v>
      </c>
      <c r="C888" t="s">
        <v>1805</v>
      </c>
      <c r="D888" s="4">
        <f>SUMIF('Stock In'!$C:$C,B:B,'Stock In'!$G:$G)</f>
        <v>0</v>
      </c>
    </row>
    <row r="889" spans="2:4">
      <c r="B889" s="2" t="s">
        <v>1806</v>
      </c>
      <c r="C889" t="s">
        <v>1807</v>
      </c>
      <c r="D889" s="4">
        <f>SUMIF('Stock In'!$C:$C,B:B,'Stock In'!$G:$G)</f>
        <v>0</v>
      </c>
    </row>
    <row r="890" spans="2:4">
      <c r="B890" s="2" t="s">
        <v>1808</v>
      </c>
      <c r="C890" t="s">
        <v>1809</v>
      </c>
      <c r="D890" s="4">
        <f>SUMIF('Stock In'!$C:$C,B:B,'Stock In'!$G:$G)</f>
        <v>0</v>
      </c>
    </row>
    <row r="891" spans="2:4">
      <c r="B891" s="2" t="s">
        <v>1810</v>
      </c>
      <c r="C891" t="s">
        <v>1811</v>
      </c>
      <c r="D891" s="4">
        <f>SUMIF('Stock In'!$C:$C,B:B,'Stock In'!$G:$G)</f>
        <v>0</v>
      </c>
    </row>
    <row r="892" spans="2:4">
      <c r="B892" s="2" t="s">
        <v>1812</v>
      </c>
      <c r="C892" t="s">
        <v>1813</v>
      </c>
      <c r="D892" s="4">
        <f>SUMIF('Stock In'!$C:$C,B:B,'Stock In'!$G:$G)</f>
        <v>0</v>
      </c>
    </row>
    <row r="893" spans="2:4">
      <c r="B893" s="2" t="s">
        <v>1814</v>
      </c>
      <c r="C893" t="s">
        <v>1815</v>
      </c>
      <c r="D893" s="4">
        <f>SUMIF('Stock In'!$C:$C,B:B,'Stock In'!$G:$G)</f>
        <v>0</v>
      </c>
    </row>
    <row r="894" spans="2:4">
      <c r="B894" s="2" t="s">
        <v>1816</v>
      </c>
      <c r="C894" t="s">
        <v>1817</v>
      </c>
      <c r="D894" s="4">
        <f>SUMIF('Stock In'!$C:$C,B:B,'Stock In'!$G:$G)</f>
        <v>0</v>
      </c>
    </row>
    <row r="895" spans="2:4">
      <c r="B895" s="2" t="s">
        <v>1818</v>
      </c>
      <c r="C895" t="s">
        <v>1819</v>
      </c>
      <c r="D895" s="4">
        <f>SUMIF('Stock In'!$C:$C,B:B,'Stock In'!$G:$G)</f>
        <v>0</v>
      </c>
    </row>
    <row r="896" spans="2:4">
      <c r="B896" s="2" t="s">
        <v>1820</v>
      </c>
      <c r="C896" t="s">
        <v>1821</v>
      </c>
      <c r="D896" s="4">
        <f>SUMIF('Stock In'!$C:$C,B:B,'Stock In'!$G:$G)</f>
        <v>0</v>
      </c>
    </row>
    <row r="897" spans="2:4">
      <c r="B897" s="2" t="s">
        <v>1822</v>
      </c>
      <c r="C897" t="s">
        <v>1823</v>
      </c>
      <c r="D897" s="4">
        <f>SUMIF('Stock In'!$C:$C,B:B,'Stock In'!$G:$G)</f>
        <v>0</v>
      </c>
    </row>
    <row r="898" spans="2:4">
      <c r="B898" s="2" t="s">
        <v>1824</v>
      </c>
      <c r="C898" t="s">
        <v>1825</v>
      </c>
      <c r="D898" s="4">
        <f>SUMIF('Stock In'!$C:$C,B:B,'Stock In'!$G:$G)</f>
        <v>0</v>
      </c>
    </row>
    <row r="899" spans="2:4">
      <c r="B899" s="2" t="s">
        <v>1826</v>
      </c>
      <c r="C899" t="s">
        <v>1827</v>
      </c>
      <c r="D899" s="4">
        <f>SUMIF('Stock In'!$C:$C,B:B,'Stock In'!$G:$G)</f>
        <v>0</v>
      </c>
    </row>
    <row r="900" spans="2:4">
      <c r="B900" s="2" t="s">
        <v>1828</v>
      </c>
      <c r="C900" t="s">
        <v>1829</v>
      </c>
      <c r="D900" s="4">
        <f>SUMIF('Stock In'!$C:$C,B:B,'Stock In'!$G:$G)</f>
        <v>0</v>
      </c>
    </row>
    <row r="901" spans="2:4">
      <c r="B901" s="2" t="s">
        <v>1830</v>
      </c>
      <c r="C901" t="s">
        <v>1831</v>
      </c>
      <c r="D901" s="4">
        <f>SUMIF('Stock In'!$C:$C,B:B,'Stock In'!$G:$G)</f>
        <v>0</v>
      </c>
    </row>
    <row r="902" spans="2:4">
      <c r="B902" s="2" t="s">
        <v>1832</v>
      </c>
      <c r="C902" t="s">
        <v>1833</v>
      </c>
      <c r="D902" s="4">
        <f>SUMIF('Stock In'!$C:$C,B:B,'Stock In'!$G:$G)</f>
        <v>0</v>
      </c>
    </row>
    <row r="903" spans="2:4">
      <c r="B903" s="2" t="s">
        <v>1834</v>
      </c>
      <c r="C903" t="s">
        <v>1835</v>
      </c>
      <c r="D903" s="4">
        <f>SUMIF('Stock In'!$C:$C,B:B,'Stock In'!$G:$G)</f>
        <v>0</v>
      </c>
    </row>
    <row r="904" spans="2:4">
      <c r="B904" s="2" t="s">
        <v>1836</v>
      </c>
      <c r="C904" t="s">
        <v>1837</v>
      </c>
      <c r="D904" s="4">
        <f>SUMIF('Stock In'!$C:$C,B:B,'Stock In'!$G:$G)</f>
        <v>0</v>
      </c>
    </row>
    <row r="905" spans="2:4">
      <c r="B905" s="2" t="s">
        <v>1838</v>
      </c>
      <c r="C905" t="s">
        <v>1839</v>
      </c>
      <c r="D905" s="4">
        <f>SUMIF('Stock In'!$C:$C,B:B,'Stock In'!$G:$G)</f>
        <v>0</v>
      </c>
    </row>
    <row r="906" spans="2:4">
      <c r="B906" s="2" t="s">
        <v>1840</v>
      </c>
      <c r="C906" t="s">
        <v>1841</v>
      </c>
      <c r="D906" s="4">
        <f>SUMIF('Stock In'!$C:$C,B:B,'Stock In'!$G:$G)</f>
        <v>0</v>
      </c>
    </row>
    <row r="907" spans="2:4">
      <c r="B907" s="2" t="s">
        <v>1842</v>
      </c>
      <c r="C907" t="s">
        <v>1843</v>
      </c>
      <c r="D907" s="4">
        <f>SUMIF('Stock In'!$C:$C,B:B,'Stock In'!$G:$G)</f>
        <v>0</v>
      </c>
    </row>
    <row r="908" spans="2:4">
      <c r="B908" s="2" t="s">
        <v>1844</v>
      </c>
      <c r="C908" t="s">
        <v>1845</v>
      </c>
      <c r="D908" s="4">
        <f>SUMIF('Stock In'!$C:$C,B:B,'Stock In'!$G:$G)</f>
        <v>0</v>
      </c>
    </row>
    <row r="909" spans="2:4">
      <c r="B909" s="2" t="s">
        <v>1846</v>
      </c>
      <c r="C909" t="s">
        <v>1847</v>
      </c>
      <c r="D909" s="4">
        <f>SUMIF('Stock In'!$C:$C,B:B,'Stock In'!$G:$G)</f>
        <v>0</v>
      </c>
    </row>
    <row r="910" spans="2:4">
      <c r="B910" s="2" t="s">
        <v>1848</v>
      </c>
      <c r="C910" t="s">
        <v>1849</v>
      </c>
      <c r="D910" s="4">
        <f>SUMIF('Stock In'!$C:$C,B:B,'Stock In'!$G:$G)</f>
        <v>0</v>
      </c>
    </row>
    <row r="911" spans="2:4">
      <c r="B911" s="2" t="s">
        <v>1850</v>
      </c>
      <c r="C911" t="s">
        <v>1851</v>
      </c>
      <c r="D911" s="4">
        <f>SUMIF('Stock In'!$C:$C,B:B,'Stock In'!$G:$G)</f>
        <v>0</v>
      </c>
    </row>
    <row r="912" spans="2:4">
      <c r="B912" s="2" t="s">
        <v>1852</v>
      </c>
      <c r="C912" t="s">
        <v>1853</v>
      </c>
      <c r="D912" s="4">
        <f>SUMIF('Stock In'!$C:$C,B:B,'Stock In'!$G:$G)</f>
        <v>0</v>
      </c>
    </row>
    <row r="913" spans="2:4">
      <c r="B913" s="2" t="s">
        <v>1854</v>
      </c>
      <c r="C913" t="s">
        <v>1855</v>
      </c>
      <c r="D913" s="4">
        <f>SUMIF('Stock In'!$C:$C,B:B,'Stock In'!$G:$G)</f>
        <v>0</v>
      </c>
    </row>
    <row r="914" spans="2:4">
      <c r="B914" s="2" t="s">
        <v>1856</v>
      </c>
      <c r="C914" t="s">
        <v>1857</v>
      </c>
      <c r="D914" s="4">
        <f>SUMIF('Stock In'!$C:$C,B:B,'Stock In'!$G:$G)</f>
        <v>0</v>
      </c>
    </row>
    <row r="915" spans="2:4">
      <c r="B915" s="2" t="s">
        <v>1858</v>
      </c>
      <c r="C915" t="s">
        <v>1859</v>
      </c>
      <c r="D915" s="4">
        <f>SUMIF('Stock In'!$C:$C,B:B,'Stock In'!$G:$G)</f>
        <v>0</v>
      </c>
    </row>
    <row r="916" spans="2:4">
      <c r="B916" s="2" t="s">
        <v>1860</v>
      </c>
      <c r="C916" t="s">
        <v>1861</v>
      </c>
      <c r="D916" s="4">
        <f>SUMIF('Stock In'!$C:$C,B:B,'Stock In'!$G:$G)</f>
        <v>0</v>
      </c>
    </row>
    <row r="917" spans="2:4">
      <c r="B917" s="2" t="s">
        <v>1862</v>
      </c>
      <c r="C917" t="s">
        <v>1863</v>
      </c>
      <c r="D917" s="4">
        <f>SUMIF('Stock In'!$C:$C,B:B,'Stock In'!$G:$G)</f>
        <v>0</v>
      </c>
    </row>
    <row r="918" spans="2:4">
      <c r="B918" s="2" t="s">
        <v>1864</v>
      </c>
      <c r="C918" t="s">
        <v>1865</v>
      </c>
      <c r="D918" s="4">
        <f>SUMIF('Stock In'!$C:$C,B:B,'Stock In'!$G:$G)</f>
        <v>0</v>
      </c>
    </row>
    <row r="919" spans="2:4">
      <c r="B919" s="2" t="s">
        <v>1866</v>
      </c>
      <c r="C919" t="s">
        <v>1867</v>
      </c>
      <c r="D919" s="4">
        <f>SUMIF('Stock In'!$C:$C,B:B,'Stock In'!$G:$G)</f>
        <v>0</v>
      </c>
    </row>
    <row r="920" spans="2:4">
      <c r="B920" s="2" t="s">
        <v>1868</v>
      </c>
      <c r="C920" t="s">
        <v>1869</v>
      </c>
      <c r="D920" s="4">
        <f>SUMIF('Stock In'!$C:$C,B:B,'Stock In'!$G:$G)</f>
        <v>0</v>
      </c>
    </row>
    <row r="921" spans="2:4">
      <c r="B921" s="2" t="s">
        <v>1870</v>
      </c>
      <c r="C921" t="s">
        <v>1871</v>
      </c>
      <c r="D921" s="4">
        <f>SUMIF('Stock In'!$C:$C,B:B,'Stock In'!$G:$G)</f>
        <v>0</v>
      </c>
    </row>
    <row r="922" spans="2:4">
      <c r="B922" s="2" t="s">
        <v>1872</v>
      </c>
      <c r="C922" t="s">
        <v>1873</v>
      </c>
      <c r="D922" s="4">
        <f>SUMIF('Stock In'!$C:$C,B:B,'Stock In'!$G:$G)</f>
        <v>0</v>
      </c>
    </row>
    <row r="923" spans="2:4">
      <c r="B923" s="2" t="s">
        <v>1874</v>
      </c>
      <c r="C923" t="s">
        <v>1875</v>
      </c>
      <c r="D923" s="4">
        <f>SUMIF('Stock In'!$C:$C,B:B,'Stock In'!$G:$G)</f>
        <v>0</v>
      </c>
    </row>
    <row r="924" spans="2:4">
      <c r="B924" s="2" t="s">
        <v>1876</v>
      </c>
      <c r="C924" t="s">
        <v>1877</v>
      </c>
      <c r="D924" s="4">
        <f>SUMIF('Stock In'!$C:$C,B:B,'Stock In'!$G:$G)</f>
        <v>0</v>
      </c>
    </row>
    <row r="925" spans="2:4">
      <c r="B925" s="2" t="s">
        <v>1878</v>
      </c>
      <c r="C925" t="s">
        <v>1879</v>
      </c>
      <c r="D925" s="4">
        <f>SUMIF('Stock In'!$C:$C,B:B,'Stock In'!$G:$G)</f>
        <v>0</v>
      </c>
    </row>
    <row r="926" spans="2:4">
      <c r="B926" s="2" t="s">
        <v>1880</v>
      </c>
      <c r="C926" t="s">
        <v>1881</v>
      </c>
      <c r="D926" s="4">
        <f>SUMIF('Stock In'!$C:$C,B:B,'Stock In'!$G:$G)</f>
        <v>0</v>
      </c>
    </row>
    <row r="927" spans="2:4">
      <c r="B927" s="2" t="s">
        <v>1882</v>
      </c>
      <c r="C927" t="s">
        <v>1883</v>
      </c>
      <c r="D927" s="4">
        <f>SUMIF('Stock In'!$C:$C,B:B,'Stock In'!$G:$G)</f>
        <v>0</v>
      </c>
    </row>
    <row r="928" spans="2:4">
      <c r="B928" s="2" t="s">
        <v>1884</v>
      </c>
      <c r="C928" t="s">
        <v>1885</v>
      </c>
      <c r="D928" s="4">
        <f>SUMIF('Stock In'!$C:$C,B:B,'Stock In'!$G:$G)</f>
        <v>0</v>
      </c>
    </row>
    <row r="929" spans="2:4">
      <c r="B929" s="2" t="s">
        <v>1886</v>
      </c>
      <c r="C929" t="s">
        <v>1887</v>
      </c>
      <c r="D929" s="4">
        <f>SUMIF('Stock In'!$C:$C,B:B,'Stock In'!$G:$G)</f>
        <v>0</v>
      </c>
    </row>
    <row r="930" spans="2:4">
      <c r="B930" s="2" t="s">
        <v>1888</v>
      </c>
      <c r="C930" t="s">
        <v>1889</v>
      </c>
      <c r="D930" s="4">
        <f>SUMIF('Stock In'!$C:$C,B:B,'Stock In'!$G:$G)</f>
        <v>0</v>
      </c>
    </row>
    <row r="931" spans="2:4">
      <c r="B931" s="2" t="s">
        <v>1890</v>
      </c>
      <c r="C931" t="s">
        <v>1891</v>
      </c>
      <c r="D931" s="4">
        <f>SUMIF('Stock In'!$C:$C,B:B,'Stock In'!$G:$G)</f>
        <v>0</v>
      </c>
    </row>
    <row r="932" spans="2:4">
      <c r="B932" s="2" t="s">
        <v>1892</v>
      </c>
      <c r="C932" t="s">
        <v>1893</v>
      </c>
      <c r="D932" s="4">
        <f>SUMIF('Stock In'!$C:$C,B:B,'Stock In'!$G:$G)</f>
        <v>0</v>
      </c>
    </row>
    <row r="933" spans="2:4">
      <c r="B933" s="2" t="s">
        <v>1894</v>
      </c>
      <c r="C933" t="s">
        <v>1895</v>
      </c>
      <c r="D933" s="4">
        <f>SUMIF('Stock In'!$C:$C,B:B,'Stock In'!$G:$G)</f>
        <v>0</v>
      </c>
    </row>
    <row r="934" spans="2:4">
      <c r="B934" s="2" t="s">
        <v>1896</v>
      </c>
      <c r="C934" t="s">
        <v>1897</v>
      </c>
      <c r="D934" s="4">
        <f>SUMIF('Stock In'!$C:$C,B:B,'Stock In'!$G:$G)</f>
        <v>0</v>
      </c>
    </row>
    <row r="935" spans="2:4">
      <c r="B935" s="2" t="s">
        <v>1898</v>
      </c>
      <c r="C935" t="s">
        <v>1899</v>
      </c>
      <c r="D935" s="4">
        <f>SUMIF('Stock In'!$C:$C,B:B,'Stock In'!$G:$G)</f>
        <v>0</v>
      </c>
    </row>
    <row r="936" spans="2:4">
      <c r="B936" s="2" t="s">
        <v>1900</v>
      </c>
      <c r="C936" t="s">
        <v>1901</v>
      </c>
      <c r="D936" s="4">
        <f>SUMIF('Stock In'!$C:$C,B:B,'Stock In'!$G:$G)</f>
        <v>0</v>
      </c>
    </row>
    <row r="937" spans="2:4">
      <c r="B937" s="2" t="s">
        <v>1902</v>
      </c>
      <c r="C937" t="s">
        <v>1903</v>
      </c>
      <c r="D937" s="4">
        <f>SUMIF('Stock In'!$C:$C,B:B,'Stock In'!$G:$G)</f>
        <v>0</v>
      </c>
    </row>
    <row r="938" spans="2:4">
      <c r="B938" s="2" t="s">
        <v>1904</v>
      </c>
      <c r="C938" t="s">
        <v>1905</v>
      </c>
      <c r="D938" s="4">
        <f>SUMIF('Stock In'!$C:$C,B:B,'Stock In'!$G:$G)</f>
        <v>0</v>
      </c>
    </row>
    <row r="939" spans="2:4">
      <c r="B939" s="2" t="s">
        <v>1906</v>
      </c>
      <c r="C939" t="s">
        <v>1907</v>
      </c>
      <c r="D939" s="4">
        <f>SUMIF('Stock In'!$C:$C,B:B,'Stock In'!$G:$G)</f>
        <v>0</v>
      </c>
    </row>
    <row r="940" spans="2:4">
      <c r="B940" s="2" t="s">
        <v>1908</v>
      </c>
      <c r="C940" t="s">
        <v>1909</v>
      </c>
      <c r="D940" s="4">
        <f>SUMIF('Stock In'!$C:$C,B:B,'Stock In'!$G:$G)</f>
        <v>0</v>
      </c>
    </row>
    <row r="941" spans="2:4">
      <c r="B941" s="2" t="s">
        <v>1910</v>
      </c>
      <c r="C941" t="s">
        <v>1911</v>
      </c>
      <c r="D941" s="4">
        <f>SUMIF('Stock In'!$C:$C,B:B,'Stock In'!$G:$G)</f>
        <v>0</v>
      </c>
    </row>
    <row r="942" spans="2:4">
      <c r="B942" s="2" t="s">
        <v>1912</v>
      </c>
      <c r="C942" t="s">
        <v>1913</v>
      </c>
      <c r="D942" s="4">
        <f>SUMIF('Stock In'!$C:$C,B:B,'Stock In'!$G:$G)</f>
        <v>0</v>
      </c>
    </row>
    <row r="943" spans="2:4">
      <c r="B943" s="2" t="s">
        <v>1914</v>
      </c>
      <c r="C943" t="s">
        <v>1915</v>
      </c>
      <c r="D943" s="4">
        <f>SUMIF('Stock In'!$C:$C,B:B,'Stock In'!$G:$G)</f>
        <v>0</v>
      </c>
    </row>
    <row r="944" spans="2:4">
      <c r="B944" s="2" t="s">
        <v>1916</v>
      </c>
      <c r="C944" t="s">
        <v>1917</v>
      </c>
      <c r="D944" s="4">
        <f>SUMIF('Stock In'!$C:$C,B:B,'Stock In'!$G:$G)</f>
        <v>0</v>
      </c>
    </row>
    <row r="945" spans="2:4">
      <c r="B945" s="2" t="s">
        <v>1918</v>
      </c>
      <c r="C945" t="s">
        <v>1919</v>
      </c>
      <c r="D945" s="4">
        <f>SUMIF('Stock In'!$C:$C,B:B,'Stock In'!$G:$G)</f>
        <v>0</v>
      </c>
    </row>
    <row r="946" spans="2:4">
      <c r="B946" s="2" t="s">
        <v>1920</v>
      </c>
      <c r="C946" t="s">
        <v>1921</v>
      </c>
      <c r="D946" s="4">
        <f>SUMIF('Stock In'!$C:$C,B:B,'Stock In'!$G:$G)</f>
        <v>0</v>
      </c>
    </row>
    <row r="947" spans="2:4">
      <c r="B947" s="2" t="s">
        <v>1922</v>
      </c>
      <c r="C947" t="s">
        <v>1923</v>
      </c>
      <c r="D947" s="4">
        <f>SUMIF('Stock In'!$C:$C,B:B,'Stock In'!$G:$G)</f>
        <v>0</v>
      </c>
    </row>
    <row r="948" spans="2:4">
      <c r="B948" s="2" t="s">
        <v>1924</v>
      </c>
      <c r="C948" t="s">
        <v>1925</v>
      </c>
      <c r="D948" s="4">
        <f>SUMIF('Stock In'!$C:$C,B:B,'Stock In'!$G:$G)</f>
        <v>0</v>
      </c>
    </row>
    <row r="949" spans="2:4">
      <c r="B949" s="2" t="s">
        <v>1926</v>
      </c>
      <c r="C949" t="s">
        <v>1927</v>
      </c>
      <c r="D949" s="4">
        <f>SUMIF('Stock In'!$C:$C,B:B,'Stock In'!$G:$G)</f>
        <v>0</v>
      </c>
    </row>
    <row r="950" spans="2:4">
      <c r="B950" s="2" t="s">
        <v>1928</v>
      </c>
      <c r="C950" t="s">
        <v>1929</v>
      </c>
      <c r="D950" s="4">
        <f>SUMIF('Stock In'!$C:$C,B:B,'Stock In'!$G:$G)</f>
        <v>0</v>
      </c>
    </row>
    <row r="951" spans="2:4">
      <c r="B951" s="2" t="s">
        <v>1930</v>
      </c>
      <c r="C951" t="s">
        <v>1931</v>
      </c>
      <c r="D951" s="4">
        <f>SUMIF('Stock In'!$C:$C,B:B,'Stock In'!$G:$G)</f>
        <v>0</v>
      </c>
    </row>
    <row r="952" spans="2:4">
      <c r="B952" s="2" t="s">
        <v>1932</v>
      </c>
      <c r="C952" t="s">
        <v>1933</v>
      </c>
      <c r="D952" s="4">
        <f>SUMIF('Stock In'!$C:$C,B:B,'Stock In'!$G:$G)</f>
        <v>0</v>
      </c>
    </row>
    <row r="953" spans="2:4">
      <c r="B953" s="2" t="s">
        <v>1934</v>
      </c>
      <c r="C953" t="s">
        <v>1935</v>
      </c>
      <c r="D953" s="4">
        <f>SUMIF('Stock In'!$C:$C,B:B,'Stock In'!$G:$G)</f>
        <v>0</v>
      </c>
    </row>
    <row r="954" spans="2:4">
      <c r="B954" s="2" t="s">
        <v>1936</v>
      </c>
      <c r="C954" t="s">
        <v>1937</v>
      </c>
      <c r="D954" s="4">
        <f>SUMIF('Stock In'!$C:$C,B:B,'Stock In'!$G:$G)</f>
        <v>0</v>
      </c>
    </row>
    <row r="955" spans="2:4">
      <c r="B955" s="2" t="s">
        <v>1938</v>
      </c>
      <c r="C955" t="s">
        <v>1939</v>
      </c>
      <c r="D955" s="4">
        <f>SUMIF('Stock In'!$C:$C,B:B,'Stock In'!$G:$G)</f>
        <v>0</v>
      </c>
    </row>
    <row r="956" spans="2:4">
      <c r="B956" s="2" t="s">
        <v>1940</v>
      </c>
      <c r="C956" t="s">
        <v>1941</v>
      </c>
      <c r="D956" s="4">
        <f>SUMIF('Stock In'!$C:$C,B:B,'Stock In'!$G:$G)</f>
        <v>0</v>
      </c>
    </row>
    <row r="957" spans="2:4">
      <c r="B957" s="2" t="s">
        <v>1942</v>
      </c>
      <c r="C957" t="s">
        <v>1943</v>
      </c>
      <c r="D957" s="4">
        <f>SUMIF('Stock In'!$C:$C,B:B,'Stock In'!$G:$G)</f>
        <v>0</v>
      </c>
    </row>
    <row r="958" spans="2:4">
      <c r="B958" s="2" t="s">
        <v>1944</v>
      </c>
      <c r="C958" t="s">
        <v>1945</v>
      </c>
      <c r="D958" s="4">
        <f>SUMIF('Stock In'!$C:$C,B:B,'Stock In'!$G:$G)</f>
        <v>0</v>
      </c>
    </row>
    <row r="959" spans="2:4">
      <c r="B959" s="2" t="s">
        <v>1946</v>
      </c>
      <c r="C959" t="s">
        <v>1947</v>
      </c>
      <c r="D959" s="4">
        <f>SUMIF('Stock In'!$C:$C,B:B,'Stock In'!$G:$G)</f>
        <v>0</v>
      </c>
    </row>
    <row r="960" spans="2:4">
      <c r="B960" s="2" t="s">
        <v>1948</v>
      </c>
      <c r="C960" t="s">
        <v>1949</v>
      </c>
      <c r="D960" s="4">
        <f>SUMIF('Stock In'!$C:$C,B:B,'Stock In'!$G:$G)</f>
        <v>0</v>
      </c>
    </row>
    <row r="961" spans="2:4">
      <c r="B961" s="2" t="s">
        <v>1950</v>
      </c>
      <c r="C961" t="s">
        <v>1951</v>
      </c>
      <c r="D961" s="4">
        <f>SUMIF('Stock In'!$C:$C,B:B,'Stock In'!$G:$G)</f>
        <v>0</v>
      </c>
    </row>
    <row r="962" spans="2:4">
      <c r="B962" s="2" t="s">
        <v>1952</v>
      </c>
      <c r="C962" t="s">
        <v>1953</v>
      </c>
      <c r="D962" s="4">
        <f>SUMIF('Stock In'!$C:$C,B:B,'Stock In'!$G:$G)</f>
        <v>0</v>
      </c>
    </row>
    <row r="963" spans="2:4">
      <c r="B963" s="2" t="s">
        <v>1954</v>
      </c>
      <c r="C963" t="s">
        <v>1955</v>
      </c>
      <c r="D963" s="4">
        <f>SUMIF('Stock In'!$C:$C,B:B,'Stock In'!$G:$G)</f>
        <v>0</v>
      </c>
    </row>
    <row r="964" spans="2:4">
      <c r="B964" s="2" t="s">
        <v>1956</v>
      </c>
      <c r="C964" t="s">
        <v>1957</v>
      </c>
      <c r="D964" s="4">
        <f>SUMIF('Stock In'!$C:$C,B:B,'Stock In'!$G:$G)</f>
        <v>0</v>
      </c>
    </row>
    <row r="965" spans="2:4">
      <c r="B965" s="2" t="s">
        <v>1958</v>
      </c>
      <c r="C965" t="s">
        <v>1959</v>
      </c>
      <c r="D965" s="4">
        <f>SUMIF('Stock In'!$C:$C,B:B,'Stock In'!$G:$G)</f>
        <v>0</v>
      </c>
    </row>
    <row r="966" spans="2:4">
      <c r="B966" s="2" t="s">
        <v>1960</v>
      </c>
      <c r="C966" t="s">
        <v>1961</v>
      </c>
      <c r="D966" s="4">
        <f>SUMIF('Stock In'!$C:$C,B:B,'Stock In'!$G:$G)</f>
        <v>0</v>
      </c>
    </row>
    <row r="967" spans="2:4">
      <c r="B967" s="2" t="s">
        <v>1962</v>
      </c>
      <c r="C967" t="s">
        <v>1963</v>
      </c>
      <c r="D967" s="4">
        <f>SUMIF('Stock In'!$C:$C,B:B,'Stock In'!$G:$G)</f>
        <v>0</v>
      </c>
    </row>
    <row r="968" spans="2:4">
      <c r="B968" s="2" t="s">
        <v>1964</v>
      </c>
      <c r="C968" t="s">
        <v>1965</v>
      </c>
      <c r="D968" s="4">
        <f>SUMIF('Stock In'!$C:$C,B:B,'Stock In'!$G:$G)</f>
        <v>0</v>
      </c>
    </row>
    <row r="969" spans="2:4">
      <c r="B969" s="2" t="s">
        <v>1966</v>
      </c>
      <c r="C969" t="s">
        <v>1967</v>
      </c>
      <c r="D969" s="4">
        <f>SUMIF('Stock In'!$C:$C,B:B,'Stock In'!$G:$G)</f>
        <v>0</v>
      </c>
    </row>
    <row r="970" spans="2:4">
      <c r="B970" s="2" t="s">
        <v>1968</v>
      </c>
      <c r="C970" t="s">
        <v>1969</v>
      </c>
      <c r="D970" s="4">
        <f>SUMIF('Stock In'!$C:$C,B:B,'Stock In'!$G:$G)</f>
        <v>0</v>
      </c>
    </row>
    <row r="971" spans="2:4">
      <c r="B971" s="2" t="s">
        <v>1970</v>
      </c>
      <c r="C971" t="s">
        <v>1971</v>
      </c>
      <c r="D971" s="4">
        <f>SUMIF('Stock In'!$C:$C,B:B,'Stock In'!$G:$G)</f>
        <v>0</v>
      </c>
    </row>
    <row r="972" spans="2:4">
      <c r="B972" s="2" t="s">
        <v>1972</v>
      </c>
      <c r="C972" t="s">
        <v>1973</v>
      </c>
      <c r="D972" s="4">
        <f>SUMIF('Stock In'!$C:$C,B:B,'Stock In'!$G:$G)</f>
        <v>0</v>
      </c>
    </row>
    <row r="973" spans="2:4">
      <c r="B973" s="2" t="s">
        <v>1974</v>
      </c>
      <c r="C973" t="s">
        <v>1975</v>
      </c>
      <c r="D973" s="4">
        <f>SUMIF('Stock In'!$C:$C,B:B,'Stock In'!$G:$G)</f>
        <v>0</v>
      </c>
    </row>
    <row r="974" spans="2:4">
      <c r="B974" s="2" t="s">
        <v>1976</v>
      </c>
      <c r="C974" t="s">
        <v>1977</v>
      </c>
      <c r="D974" s="4">
        <f>SUMIF('Stock In'!$C:$C,B:B,'Stock In'!$G:$G)</f>
        <v>0</v>
      </c>
    </row>
    <row r="975" spans="2:4">
      <c r="B975" s="2" t="s">
        <v>1978</v>
      </c>
      <c r="C975" t="s">
        <v>1979</v>
      </c>
      <c r="D975" s="4">
        <f>SUMIF('Stock In'!$C:$C,B:B,'Stock In'!$G:$G)</f>
        <v>0</v>
      </c>
    </row>
    <row r="976" spans="2:4">
      <c r="B976" s="2" t="s">
        <v>1980</v>
      </c>
      <c r="C976" t="s">
        <v>1981</v>
      </c>
      <c r="D976" s="4">
        <f>SUMIF('Stock In'!$C:$C,B:B,'Stock In'!$G:$G)</f>
        <v>0</v>
      </c>
    </row>
    <row r="977" spans="2:4">
      <c r="B977" s="2" t="s">
        <v>1982</v>
      </c>
      <c r="C977" t="s">
        <v>1983</v>
      </c>
      <c r="D977" s="4">
        <f>SUMIF('Stock In'!$C:$C,B:B,'Stock In'!$G:$G)</f>
        <v>0</v>
      </c>
    </row>
    <row r="978" spans="2:4">
      <c r="B978" s="2" t="s">
        <v>1984</v>
      </c>
      <c r="C978" t="s">
        <v>1985</v>
      </c>
      <c r="D978" s="4">
        <f>SUMIF('Stock In'!$C:$C,B:B,'Stock In'!$G:$G)</f>
        <v>0</v>
      </c>
    </row>
    <row r="979" spans="2:4">
      <c r="B979" s="2" t="s">
        <v>1986</v>
      </c>
      <c r="C979" t="s">
        <v>1987</v>
      </c>
      <c r="D979" s="4">
        <f>SUMIF('Stock In'!$C:$C,B:B,'Stock In'!$G:$G)</f>
        <v>0</v>
      </c>
    </row>
    <row r="980" spans="2:4">
      <c r="B980" s="2" t="s">
        <v>1988</v>
      </c>
      <c r="C980" t="s">
        <v>1989</v>
      </c>
      <c r="D980" s="4">
        <f>SUMIF('Stock In'!$C:$C,B:B,'Stock In'!$G:$G)</f>
        <v>0</v>
      </c>
    </row>
    <row r="981" spans="2:4">
      <c r="B981" s="2" t="s">
        <v>1990</v>
      </c>
      <c r="C981" t="s">
        <v>1991</v>
      </c>
      <c r="D981" s="4">
        <f>SUMIF('Stock In'!$C:$C,B:B,'Stock In'!$G:$G)</f>
        <v>0</v>
      </c>
    </row>
    <row r="982" spans="2:4">
      <c r="B982" s="2" t="s">
        <v>1992</v>
      </c>
      <c r="C982" t="s">
        <v>1993</v>
      </c>
      <c r="D982" s="4">
        <f>SUMIF('Stock In'!$C:$C,B:B,'Stock In'!$G:$G)</f>
        <v>0</v>
      </c>
    </row>
    <row r="983" spans="2:4">
      <c r="B983" s="2" t="s">
        <v>1994</v>
      </c>
      <c r="C983" t="s">
        <v>1995</v>
      </c>
      <c r="D983" s="4">
        <f>SUMIF('Stock In'!$C:$C,B:B,'Stock In'!$G:$G)</f>
        <v>0</v>
      </c>
    </row>
    <row r="984" spans="2:4">
      <c r="B984" s="2" t="s">
        <v>1996</v>
      </c>
      <c r="C984" t="s">
        <v>1997</v>
      </c>
      <c r="D984" s="4">
        <f>SUMIF('Stock In'!$C:$C,B:B,'Stock In'!$G:$G)</f>
        <v>0</v>
      </c>
    </row>
    <row r="985" spans="2:4">
      <c r="B985" s="2" t="s">
        <v>1998</v>
      </c>
      <c r="C985" t="s">
        <v>1999</v>
      </c>
      <c r="D985" s="4">
        <f>SUMIF('Stock In'!$C:$C,B:B,'Stock In'!$G:$G)</f>
        <v>0</v>
      </c>
    </row>
    <row r="986" spans="2:4">
      <c r="B986" s="2" t="s">
        <v>2000</v>
      </c>
      <c r="C986" t="s">
        <v>2001</v>
      </c>
      <c r="D986" s="4">
        <f>SUMIF('Stock In'!$C:$C,B:B,'Stock In'!$G:$G)</f>
        <v>0</v>
      </c>
    </row>
    <row r="987" spans="2:4">
      <c r="B987" s="2" t="s">
        <v>2002</v>
      </c>
      <c r="C987" t="s">
        <v>2003</v>
      </c>
      <c r="D987" s="4">
        <f>SUMIF('Stock In'!$C:$C,B:B,'Stock In'!$G:$G)</f>
        <v>0</v>
      </c>
    </row>
    <row r="988" spans="2:4">
      <c r="B988" s="2" t="s">
        <v>2004</v>
      </c>
      <c r="C988" t="s">
        <v>2005</v>
      </c>
      <c r="D988" s="4">
        <f>SUMIF('Stock In'!$C:$C,B:B,'Stock In'!$G:$G)</f>
        <v>0</v>
      </c>
    </row>
    <row r="989" spans="2:4">
      <c r="B989" s="2" t="s">
        <v>2006</v>
      </c>
      <c r="C989" t="s">
        <v>2007</v>
      </c>
      <c r="D989" s="4">
        <f>SUMIF('Stock In'!$C:$C,B:B,'Stock In'!$G:$G)</f>
        <v>0</v>
      </c>
    </row>
    <row r="990" spans="2:4">
      <c r="B990" s="2" t="s">
        <v>2008</v>
      </c>
      <c r="C990" t="s">
        <v>2009</v>
      </c>
      <c r="D990" s="4">
        <f>SUMIF('Stock In'!$C:$C,B:B,'Stock In'!$G:$G)</f>
        <v>0</v>
      </c>
    </row>
    <row r="991" spans="2:4">
      <c r="B991" s="2" t="s">
        <v>2010</v>
      </c>
      <c r="C991" t="s">
        <v>2011</v>
      </c>
      <c r="D991" s="4">
        <f>SUMIF('Stock In'!$C:$C,B:B,'Stock In'!$G:$G)</f>
        <v>0</v>
      </c>
    </row>
    <row r="992" spans="2:4">
      <c r="B992" s="2" t="s">
        <v>2012</v>
      </c>
      <c r="C992" t="s">
        <v>2013</v>
      </c>
      <c r="D992" s="4">
        <f>SUMIF('Stock In'!$C:$C,B:B,'Stock In'!$G:$G)</f>
        <v>0</v>
      </c>
    </row>
    <row r="993" spans="2:4">
      <c r="B993" s="2" t="s">
        <v>2014</v>
      </c>
      <c r="C993" t="s">
        <v>2015</v>
      </c>
      <c r="D993" s="4">
        <f>SUMIF('Stock In'!$C:$C,B:B,'Stock In'!$G:$G)</f>
        <v>0</v>
      </c>
    </row>
    <row r="994" spans="2:4">
      <c r="B994" s="2" t="s">
        <v>2016</v>
      </c>
      <c r="C994" t="s">
        <v>2017</v>
      </c>
      <c r="D994" s="4">
        <f>SUMIF('Stock In'!$C:$C,B:B,'Stock In'!$G:$G)</f>
        <v>0</v>
      </c>
    </row>
    <row r="995" spans="2:4">
      <c r="B995" s="2" t="s">
        <v>2018</v>
      </c>
      <c r="C995" t="s">
        <v>2019</v>
      </c>
      <c r="D995" s="4">
        <f>SUMIF('Stock In'!$C:$C,B:B,'Stock In'!$G:$G)</f>
        <v>0</v>
      </c>
    </row>
    <row r="996" spans="2:4">
      <c r="B996" s="2" t="s">
        <v>2020</v>
      </c>
      <c r="C996" t="s">
        <v>2021</v>
      </c>
      <c r="D996" s="4">
        <f>SUMIF('Stock In'!$C:$C,B:B,'Stock In'!$G:$G)</f>
        <v>0</v>
      </c>
    </row>
    <row r="997" spans="2:4">
      <c r="B997" s="2" t="s">
        <v>2022</v>
      </c>
      <c r="C997" t="s">
        <v>2023</v>
      </c>
      <c r="D997" s="4">
        <f>SUMIF('Stock In'!$C:$C,B:B,'Stock In'!$G:$G)</f>
        <v>0</v>
      </c>
    </row>
    <row r="998" spans="2:4">
      <c r="B998" s="2" t="s">
        <v>2024</v>
      </c>
      <c r="C998" t="s">
        <v>2025</v>
      </c>
      <c r="D998" s="4">
        <f>SUMIF('Stock In'!$C:$C,B:B,'Stock In'!$G:$G)</f>
        <v>0</v>
      </c>
    </row>
    <row r="999" spans="2:4">
      <c r="B999" s="2" t="s">
        <v>2026</v>
      </c>
      <c r="C999" t="s">
        <v>2027</v>
      </c>
      <c r="D999" s="4">
        <f>SUMIF('Stock In'!$C:$C,B:B,'Stock In'!$G:$G)</f>
        <v>0</v>
      </c>
    </row>
    <row r="1000" spans="2:4">
      <c r="B1000" s="2" t="s">
        <v>2028</v>
      </c>
      <c r="C1000" t="s">
        <v>2029</v>
      </c>
      <c r="D1000" s="4">
        <f>SUMIF('Stock In'!$C:$C,B:B,'Stock In'!$G:$G)</f>
        <v>0</v>
      </c>
    </row>
    <row r="1001" spans="2:4">
      <c r="B1001" s="2" t="s">
        <v>2030</v>
      </c>
      <c r="C1001" t="s">
        <v>2031</v>
      </c>
      <c r="D1001" s="4">
        <f>SUMIF('Stock In'!$C:$C,B:B,'Stock In'!$G:$G)</f>
        <v>0</v>
      </c>
    </row>
    <row r="1002" spans="2:4">
      <c r="B1002" s="2" t="s">
        <v>2032</v>
      </c>
      <c r="C1002" t="s">
        <v>2033</v>
      </c>
      <c r="D1002" s="4">
        <f>SUMIF('Stock In'!$C:$C,B:B,'Stock In'!$G:$G)</f>
        <v>0</v>
      </c>
    </row>
    <row r="1003" spans="2:4">
      <c r="B1003" s="2" t="s">
        <v>2034</v>
      </c>
      <c r="C1003" t="s">
        <v>2035</v>
      </c>
      <c r="D1003" s="4">
        <f>SUMIF('Stock In'!$C:$C,B:B,'Stock In'!$G:$G)</f>
        <v>0</v>
      </c>
    </row>
    <row r="1004" spans="2:4">
      <c r="B1004" s="2" t="s">
        <v>2036</v>
      </c>
      <c r="C1004" t="s">
        <v>2037</v>
      </c>
      <c r="D1004" s="4">
        <f>SUMIF('Stock In'!$C:$C,B:B,'Stock In'!$G:$G)</f>
        <v>0</v>
      </c>
    </row>
    <row r="1005" spans="2:4">
      <c r="B1005" s="2" t="s">
        <v>2038</v>
      </c>
      <c r="C1005" t="s">
        <v>2039</v>
      </c>
      <c r="D1005" s="4">
        <f>SUMIF('Stock In'!$C:$C,B:B,'Stock In'!$G:$G)</f>
        <v>0</v>
      </c>
    </row>
    <row r="1006" spans="2:4">
      <c r="B1006" s="2" t="s">
        <v>2040</v>
      </c>
      <c r="C1006" t="s">
        <v>2041</v>
      </c>
      <c r="D1006" s="4">
        <f>SUMIF('Stock In'!$C:$C,B:B,'Stock In'!$G:$G)</f>
        <v>0</v>
      </c>
    </row>
    <row r="1007" spans="2:4">
      <c r="B1007" s="2" t="s">
        <v>2042</v>
      </c>
      <c r="C1007" t="s">
        <v>2043</v>
      </c>
      <c r="D1007" s="4">
        <f>SUMIF('Stock In'!$C:$C,B:B,'Stock In'!$G:$G)</f>
        <v>0</v>
      </c>
    </row>
    <row r="1008" spans="2:4">
      <c r="B1008" s="2" t="s">
        <v>2044</v>
      </c>
      <c r="C1008" t="s">
        <v>2045</v>
      </c>
      <c r="D1008" s="4">
        <f>SUMIF('Stock In'!$C:$C,B:B,'Stock In'!$G:$G)</f>
        <v>0</v>
      </c>
    </row>
    <row r="1009" spans="2:4">
      <c r="B1009" s="2" t="s">
        <v>2046</v>
      </c>
      <c r="C1009" t="s">
        <v>2047</v>
      </c>
      <c r="D1009" s="4">
        <f>SUMIF('Stock In'!$C:$C,B:B,'Stock In'!$G:$G)</f>
        <v>0</v>
      </c>
    </row>
    <row r="1010" spans="2:4">
      <c r="B1010" s="2" t="s">
        <v>2048</v>
      </c>
      <c r="C1010" t="s">
        <v>2049</v>
      </c>
      <c r="D1010" s="4">
        <f>SUMIF('Stock In'!$C:$C,B:B,'Stock In'!$G:$G)</f>
        <v>0</v>
      </c>
    </row>
    <row r="1011" spans="2:4">
      <c r="B1011" s="2" t="s">
        <v>2050</v>
      </c>
      <c r="C1011" t="s">
        <v>2051</v>
      </c>
      <c r="D1011" s="4">
        <f>SUMIF('Stock In'!$C:$C,B:B,'Stock In'!$G:$G)</f>
        <v>0</v>
      </c>
    </row>
    <row r="1012" spans="2:4">
      <c r="B1012" s="2" t="s">
        <v>2052</v>
      </c>
      <c r="C1012" t="s">
        <v>2053</v>
      </c>
      <c r="D1012" s="4">
        <f>SUMIF('Stock In'!$C:$C,B:B,'Stock In'!$G:$G)</f>
        <v>0</v>
      </c>
    </row>
    <row r="1013" spans="2:4">
      <c r="B1013" s="2" t="s">
        <v>2054</v>
      </c>
      <c r="C1013" t="s">
        <v>2055</v>
      </c>
      <c r="D1013" s="4">
        <f>SUMIF('Stock In'!$C:$C,B:B,'Stock In'!$G:$G)</f>
        <v>0</v>
      </c>
    </row>
    <row r="1014" spans="2:4">
      <c r="B1014" s="2" t="s">
        <v>2056</v>
      </c>
      <c r="C1014" t="s">
        <v>2057</v>
      </c>
      <c r="D1014" s="4">
        <f>SUMIF('Stock In'!$C:$C,B:B,'Stock In'!$G:$G)</f>
        <v>0</v>
      </c>
    </row>
    <row r="1015" spans="2:4">
      <c r="B1015" s="2" t="s">
        <v>2058</v>
      </c>
      <c r="C1015" t="s">
        <v>2059</v>
      </c>
      <c r="D1015" s="4">
        <f>SUMIF('Stock In'!$C:$C,B:B,'Stock In'!$G:$G)</f>
        <v>0</v>
      </c>
    </row>
    <row r="1016" spans="2:4">
      <c r="B1016" s="2" t="s">
        <v>2060</v>
      </c>
      <c r="C1016" t="s">
        <v>2059</v>
      </c>
      <c r="D1016" s="4">
        <f>SUMIF('Stock In'!$C:$C,B:B,'Stock In'!$G:$G)</f>
        <v>0</v>
      </c>
    </row>
    <row r="1017" spans="2:4">
      <c r="B1017" s="2" t="s">
        <v>2061</v>
      </c>
      <c r="C1017" t="s">
        <v>2062</v>
      </c>
      <c r="D1017" s="4">
        <f>SUMIF('Stock In'!$C:$C,B:B,'Stock In'!$G:$G)</f>
        <v>0</v>
      </c>
    </row>
    <row r="1018" spans="2:4">
      <c r="B1018" s="2" t="s">
        <v>2063</v>
      </c>
      <c r="C1018" t="s">
        <v>2064</v>
      </c>
      <c r="D1018" s="4">
        <f>SUMIF('Stock In'!$C:$C,B:B,'Stock In'!$G:$G)</f>
        <v>0</v>
      </c>
    </row>
    <row r="1019" spans="2:4">
      <c r="B1019" s="2" t="s">
        <v>2065</v>
      </c>
      <c r="C1019" t="s">
        <v>2066</v>
      </c>
      <c r="D1019" s="4">
        <f>SUMIF('Stock In'!$C:$C,B:B,'Stock In'!$G:$G)</f>
        <v>0</v>
      </c>
    </row>
    <row r="1020" spans="2:4">
      <c r="B1020" s="2" t="s">
        <v>2067</v>
      </c>
      <c r="C1020" t="s">
        <v>2068</v>
      </c>
      <c r="D1020" s="4">
        <f>SUMIF('Stock In'!$C:$C,B:B,'Stock In'!$G:$G)</f>
        <v>0</v>
      </c>
    </row>
    <row r="1021" spans="2:4">
      <c r="B1021" s="2" t="s">
        <v>2069</v>
      </c>
      <c r="C1021" t="s">
        <v>2070</v>
      </c>
      <c r="D1021" s="4">
        <f>SUMIF('Stock In'!$C:$C,B:B,'Stock In'!$G:$G)</f>
        <v>0</v>
      </c>
    </row>
    <row r="1022" spans="2:4">
      <c r="B1022" s="2" t="s">
        <v>2071</v>
      </c>
      <c r="C1022" t="s">
        <v>2072</v>
      </c>
      <c r="D1022" s="4">
        <f>SUMIF('Stock In'!$C:$C,B:B,'Stock In'!$G:$G)</f>
        <v>0</v>
      </c>
    </row>
    <row r="1023" spans="2:4">
      <c r="B1023" s="2" t="s">
        <v>2073</v>
      </c>
      <c r="C1023" t="s">
        <v>2074</v>
      </c>
      <c r="D1023" s="4">
        <f>SUMIF('Stock In'!$C:$C,B:B,'Stock In'!$G:$G)</f>
        <v>0</v>
      </c>
    </row>
    <row r="1024" spans="2:4">
      <c r="B1024" s="2" t="s">
        <v>2075</v>
      </c>
      <c r="C1024" t="s">
        <v>2076</v>
      </c>
      <c r="D1024" s="4">
        <f>SUMIF('Stock In'!$C:$C,B:B,'Stock In'!$G:$G)</f>
        <v>0</v>
      </c>
    </row>
    <row r="1025" spans="2:4">
      <c r="B1025" s="2" t="s">
        <v>2077</v>
      </c>
      <c r="C1025" t="s">
        <v>2078</v>
      </c>
      <c r="D1025" s="4">
        <f>SUMIF('Stock In'!$C:$C,B:B,'Stock In'!$G:$G)</f>
        <v>0</v>
      </c>
    </row>
    <row r="1026" spans="2:4">
      <c r="B1026" s="2" t="s">
        <v>2079</v>
      </c>
      <c r="C1026" t="s">
        <v>2080</v>
      </c>
      <c r="D1026" s="4">
        <f>SUMIF('Stock In'!$C:$C,B:B,'Stock In'!$G:$G)</f>
        <v>0</v>
      </c>
    </row>
    <row r="1027" spans="2:4">
      <c r="B1027" s="2" t="s">
        <v>2081</v>
      </c>
      <c r="C1027" t="s">
        <v>2082</v>
      </c>
      <c r="D1027" s="4">
        <f>SUMIF('Stock In'!$C:$C,B:B,'Stock In'!$G:$G)</f>
        <v>0</v>
      </c>
    </row>
    <row r="1028" spans="2:4">
      <c r="B1028" s="2" t="s">
        <v>2083</v>
      </c>
      <c r="C1028" t="s">
        <v>2084</v>
      </c>
      <c r="D1028" s="4">
        <f>SUMIF('Stock In'!$C:$C,B:B,'Stock In'!$G:$G)</f>
        <v>0</v>
      </c>
    </row>
    <row r="1029" spans="2:4">
      <c r="B1029" s="2" t="s">
        <v>2085</v>
      </c>
      <c r="C1029" t="s">
        <v>2086</v>
      </c>
      <c r="D1029" s="4">
        <f>SUMIF('Stock In'!$C:$C,B:B,'Stock In'!$G:$G)</f>
        <v>0</v>
      </c>
    </row>
    <row r="1030" spans="2:4">
      <c r="B1030" s="2" t="s">
        <v>2087</v>
      </c>
      <c r="C1030" t="s">
        <v>2088</v>
      </c>
      <c r="D1030" s="4">
        <f>SUMIF('Stock In'!$C:$C,B:B,'Stock In'!$G:$G)</f>
        <v>0</v>
      </c>
    </row>
    <row r="1031" spans="2:4">
      <c r="B1031" s="2" t="s">
        <v>2089</v>
      </c>
      <c r="C1031" t="s">
        <v>2090</v>
      </c>
      <c r="D1031" s="4">
        <f>SUMIF('Stock In'!$C:$C,B:B,'Stock In'!$G:$G)</f>
        <v>0</v>
      </c>
    </row>
    <row r="1032" spans="2:4">
      <c r="B1032" s="2" t="s">
        <v>2091</v>
      </c>
      <c r="C1032" t="s">
        <v>2092</v>
      </c>
      <c r="D1032" s="4">
        <f>SUMIF('Stock In'!$C:$C,B:B,'Stock In'!$G:$G)</f>
        <v>0</v>
      </c>
    </row>
    <row r="1033" spans="2:4">
      <c r="B1033" s="2" t="s">
        <v>2093</v>
      </c>
      <c r="C1033" t="s">
        <v>2094</v>
      </c>
      <c r="D1033" s="4">
        <f>SUMIF('Stock In'!$C:$C,B:B,'Stock In'!$G:$G)</f>
        <v>0</v>
      </c>
    </row>
    <row r="1034" spans="2:4">
      <c r="B1034" s="2" t="s">
        <v>2095</v>
      </c>
      <c r="C1034" t="s">
        <v>2096</v>
      </c>
      <c r="D1034" s="4">
        <f>SUMIF('Stock In'!$C:$C,B:B,'Stock In'!$G:$G)</f>
        <v>0</v>
      </c>
    </row>
    <row r="1035" spans="2:4">
      <c r="B1035" s="2" t="s">
        <v>2097</v>
      </c>
      <c r="C1035" t="s">
        <v>2098</v>
      </c>
      <c r="D1035" s="4">
        <f>SUMIF('Stock In'!$C:$C,B:B,'Stock In'!$G:$G)</f>
        <v>0</v>
      </c>
    </row>
    <row r="1036" spans="2:4">
      <c r="B1036" s="2" t="s">
        <v>2099</v>
      </c>
      <c r="C1036" t="s">
        <v>2100</v>
      </c>
      <c r="D1036" s="4">
        <f>SUMIF('Stock In'!$C:$C,B:B,'Stock In'!$G:$G)</f>
        <v>0</v>
      </c>
    </row>
    <row r="1037" spans="2:4">
      <c r="B1037" s="2" t="s">
        <v>2101</v>
      </c>
      <c r="C1037" t="s">
        <v>2102</v>
      </c>
      <c r="D1037" s="4">
        <f>SUMIF('Stock In'!$C:$C,B:B,'Stock In'!$G:$G)</f>
        <v>0</v>
      </c>
    </row>
    <row r="1038" spans="2:4">
      <c r="B1038" s="2" t="s">
        <v>2103</v>
      </c>
      <c r="C1038" t="s">
        <v>2104</v>
      </c>
      <c r="D1038" s="4">
        <f>SUMIF('Stock In'!$C:$C,B:B,'Stock In'!$G:$G)</f>
        <v>0</v>
      </c>
    </row>
    <row r="1039" spans="2:4">
      <c r="B1039" s="2" t="s">
        <v>2105</v>
      </c>
      <c r="C1039" t="s">
        <v>2106</v>
      </c>
      <c r="D1039" s="4">
        <f>SUMIF('Stock In'!$C:$C,B:B,'Stock In'!$G:$G)</f>
        <v>0</v>
      </c>
    </row>
    <row r="1040" spans="2:4">
      <c r="B1040" s="2" t="s">
        <v>2107</v>
      </c>
      <c r="C1040" t="s">
        <v>2108</v>
      </c>
      <c r="D1040" s="4">
        <f>SUMIF('Stock In'!$C:$C,B:B,'Stock In'!$G:$G)</f>
        <v>0</v>
      </c>
    </row>
    <row r="1041" spans="2:4">
      <c r="B1041" s="2" t="s">
        <v>2109</v>
      </c>
      <c r="C1041" t="s">
        <v>2110</v>
      </c>
      <c r="D1041" s="4">
        <f>SUMIF('Stock In'!$C:$C,B:B,'Stock In'!$G:$G)</f>
        <v>0</v>
      </c>
    </row>
    <row r="1042" spans="2:4">
      <c r="B1042" s="2" t="s">
        <v>2111</v>
      </c>
      <c r="C1042" t="s">
        <v>2112</v>
      </c>
      <c r="D1042" s="4">
        <f>SUMIF('Stock In'!$C:$C,B:B,'Stock In'!$G:$G)</f>
        <v>0</v>
      </c>
    </row>
    <row r="1043" spans="2:4">
      <c r="B1043" s="2" t="s">
        <v>2113</v>
      </c>
      <c r="C1043" t="s">
        <v>2114</v>
      </c>
      <c r="D1043" s="4">
        <f>SUMIF('Stock In'!$C:$C,B:B,'Stock In'!$G:$G)</f>
        <v>0</v>
      </c>
    </row>
    <row r="1044" spans="2:4">
      <c r="B1044" s="2" t="s">
        <v>2115</v>
      </c>
      <c r="C1044" t="s">
        <v>2116</v>
      </c>
      <c r="D1044" s="4">
        <f>SUMIF('Stock In'!$C:$C,B:B,'Stock In'!$G:$G)</f>
        <v>0</v>
      </c>
    </row>
    <row r="1045" spans="2:4">
      <c r="B1045" s="2" t="s">
        <v>2117</v>
      </c>
      <c r="C1045" t="s">
        <v>2118</v>
      </c>
      <c r="D1045" s="4">
        <f>SUMIF('Stock In'!$C:$C,B:B,'Stock In'!$G:$G)</f>
        <v>0</v>
      </c>
    </row>
    <row r="1046" spans="2:4">
      <c r="B1046" s="2" t="s">
        <v>2119</v>
      </c>
      <c r="C1046" t="s">
        <v>2120</v>
      </c>
      <c r="D1046" s="4">
        <f>SUMIF('Stock In'!$C:$C,B:B,'Stock In'!$G:$G)</f>
        <v>0</v>
      </c>
    </row>
    <row r="1047" spans="2:4">
      <c r="B1047" s="2" t="s">
        <v>2121</v>
      </c>
      <c r="C1047" t="s">
        <v>2122</v>
      </c>
      <c r="D1047" s="4">
        <f>SUMIF('Stock In'!$C:$C,B:B,'Stock In'!$G:$G)</f>
        <v>0</v>
      </c>
    </row>
    <row r="1048" spans="2:4">
      <c r="B1048" s="2" t="s">
        <v>2123</v>
      </c>
      <c r="C1048" t="s">
        <v>2124</v>
      </c>
      <c r="D1048" s="4">
        <f>SUMIF('Stock In'!$C:$C,B:B,'Stock In'!$G:$G)</f>
        <v>0</v>
      </c>
    </row>
    <row r="1049" spans="2:4">
      <c r="B1049" s="2" t="s">
        <v>2125</v>
      </c>
      <c r="C1049" t="s">
        <v>2126</v>
      </c>
      <c r="D1049" s="4">
        <f>SUMIF('Stock In'!$C:$C,B:B,'Stock In'!$G:$G)</f>
        <v>0</v>
      </c>
    </row>
    <row r="1050" spans="2:4">
      <c r="B1050" s="2" t="s">
        <v>2127</v>
      </c>
      <c r="C1050" t="s">
        <v>2128</v>
      </c>
      <c r="D1050" s="4">
        <f>SUMIF('Stock In'!$C:$C,B:B,'Stock In'!$G:$G)</f>
        <v>0</v>
      </c>
    </row>
    <row r="1051" spans="2:4">
      <c r="B1051" s="2" t="s">
        <v>2129</v>
      </c>
      <c r="C1051" t="s">
        <v>2130</v>
      </c>
      <c r="D1051" s="4">
        <f>SUMIF('Stock In'!$C:$C,B:B,'Stock In'!$G:$G)</f>
        <v>0</v>
      </c>
    </row>
    <row r="1052" spans="2:4">
      <c r="B1052" s="2" t="s">
        <v>2131</v>
      </c>
      <c r="C1052" t="s">
        <v>2132</v>
      </c>
      <c r="D1052" s="4">
        <f>SUMIF('Stock In'!$C:$C,B:B,'Stock In'!$G:$G)</f>
        <v>0</v>
      </c>
    </row>
    <row r="1053" spans="2:4">
      <c r="B1053" s="2" t="s">
        <v>2133</v>
      </c>
      <c r="C1053" t="s">
        <v>2134</v>
      </c>
      <c r="D1053" s="4">
        <f>SUMIF('Stock In'!$C:$C,B:B,'Stock In'!$G:$G)</f>
        <v>0</v>
      </c>
    </row>
    <row r="1054" spans="2:4">
      <c r="B1054" s="2" t="s">
        <v>2135</v>
      </c>
      <c r="C1054" t="s">
        <v>2136</v>
      </c>
      <c r="D1054" s="4">
        <f>SUMIF('Stock In'!$C:$C,B:B,'Stock In'!$G:$G)</f>
        <v>0</v>
      </c>
    </row>
    <row r="1055" spans="2:4">
      <c r="B1055" s="2" t="s">
        <v>2137</v>
      </c>
      <c r="C1055" t="s">
        <v>2138</v>
      </c>
      <c r="D1055" s="4">
        <f>SUMIF('Stock In'!$C:$C,B:B,'Stock In'!$G:$G)</f>
        <v>0</v>
      </c>
    </row>
    <row r="1056" spans="2:4">
      <c r="B1056" s="2" t="s">
        <v>2139</v>
      </c>
      <c r="C1056" t="s">
        <v>2140</v>
      </c>
      <c r="D1056" s="4">
        <f>SUMIF('Stock In'!$C:$C,B:B,'Stock In'!$G:$G)</f>
        <v>0</v>
      </c>
    </row>
  </sheetData>
  <autoFilter ref="B1:D105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53"/>
  <sheetViews>
    <sheetView topLeftCell="A205" workbookViewId="0">
      <selection activeCell="E153" sqref="E153"/>
    </sheetView>
  </sheetViews>
  <sheetFormatPr defaultRowHeight="15"/>
  <cols>
    <col min="1" max="1" width="15.85546875" style="20" bestFit="1" customWidth="1"/>
    <col min="2" max="2" width="12.28515625" style="20" bestFit="1" customWidth="1"/>
    <col min="3" max="3" width="11" style="2" bestFit="1" customWidth="1"/>
    <col min="4" max="4" width="10.85546875" style="20" bestFit="1" customWidth="1"/>
    <col min="5" max="5" width="14.85546875" style="20" bestFit="1" customWidth="1"/>
    <col min="6" max="6" width="9.7109375" style="20" bestFit="1" customWidth="1"/>
  </cols>
  <sheetData>
    <row r="1" spans="1:7">
      <c r="A1" s="20" t="s">
        <v>4</v>
      </c>
      <c r="B1" s="20" t="s">
        <v>0</v>
      </c>
      <c r="C1" s="2" t="s">
        <v>2144</v>
      </c>
      <c r="D1" s="20" t="s">
        <v>500</v>
      </c>
      <c r="E1" s="20" t="s">
        <v>501</v>
      </c>
      <c r="F1" s="20" t="s">
        <v>502</v>
      </c>
      <c r="G1" s="20" t="s">
        <v>2165</v>
      </c>
    </row>
    <row r="2" spans="1:7">
      <c r="A2" s="21">
        <v>44161.384189814817</v>
      </c>
      <c r="B2" s="20" t="s">
        <v>196</v>
      </c>
      <c r="C2" s="2">
        <v>5800006445</v>
      </c>
      <c r="D2" s="20">
        <v>200</v>
      </c>
      <c r="E2" s="20">
        <v>48</v>
      </c>
      <c r="F2" s="20" t="s">
        <v>2146</v>
      </c>
    </row>
    <row r="3" spans="1:7">
      <c r="A3" s="21">
        <v>44162.395335648151</v>
      </c>
      <c r="B3" s="20" t="s">
        <v>228</v>
      </c>
      <c r="C3" s="2">
        <v>5800006262</v>
      </c>
      <c r="D3" s="20">
        <v>17280</v>
      </c>
      <c r="E3" s="20">
        <v>720</v>
      </c>
      <c r="F3" s="20" t="s">
        <v>2146</v>
      </c>
    </row>
    <row r="4" spans="1:7">
      <c r="A4" s="21">
        <v>44162.466817129629</v>
      </c>
      <c r="B4" s="20" t="s">
        <v>228</v>
      </c>
      <c r="C4" s="2">
        <v>0</v>
      </c>
      <c r="D4" s="20">
        <v>200</v>
      </c>
      <c r="E4" s="20">
        <v>50</v>
      </c>
      <c r="F4" s="20" t="s">
        <v>2146</v>
      </c>
    </row>
    <row r="5" spans="1:7">
      <c r="A5" s="21">
        <v>44162.591990740744</v>
      </c>
      <c r="B5" s="20" t="s">
        <v>103</v>
      </c>
      <c r="C5" s="2">
        <v>0</v>
      </c>
      <c r="D5" s="20">
        <v>6720</v>
      </c>
      <c r="E5" s="20">
        <v>6720</v>
      </c>
      <c r="F5" s="20" t="s">
        <v>2146</v>
      </c>
      <c r="G5" s="40"/>
    </row>
    <row r="6" spans="1:7">
      <c r="A6" s="21">
        <v>44162.592905092592</v>
      </c>
      <c r="B6" s="20" t="s">
        <v>103</v>
      </c>
      <c r="C6" s="2">
        <v>0</v>
      </c>
      <c r="D6" s="20">
        <v>87360</v>
      </c>
      <c r="E6" s="20">
        <v>6720</v>
      </c>
      <c r="F6" s="20" t="s">
        <v>2146</v>
      </c>
    </row>
    <row r="7" spans="1:7">
      <c r="A7" s="21">
        <v>44162.642442129632</v>
      </c>
      <c r="B7" s="20" t="s">
        <v>105</v>
      </c>
      <c r="C7" s="2">
        <v>0</v>
      </c>
      <c r="D7" s="20">
        <v>92160</v>
      </c>
      <c r="E7" s="20">
        <v>11520</v>
      </c>
      <c r="F7" s="20" t="s">
        <v>2146</v>
      </c>
    </row>
    <row r="8" spans="1:7">
      <c r="A8" s="21">
        <v>44162.644143518519</v>
      </c>
      <c r="B8" s="20" t="s">
        <v>105</v>
      </c>
      <c r="C8" s="2">
        <v>0</v>
      </c>
      <c r="D8" s="20">
        <v>23760</v>
      </c>
      <c r="E8" s="20">
        <v>7920</v>
      </c>
      <c r="F8" s="20" t="s">
        <v>2146</v>
      </c>
    </row>
    <row r="9" spans="1:7">
      <c r="A9" s="21">
        <v>44162.64503472222</v>
      </c>
      <c r="B9" s="20" t="s">
        <v>105</v>
      </c>
      <c r="C9" s="2">
        <v>0</v>
      </c>
      <c r="D9" s="20">
        <v>13320</v>
      </c>
      <c r="E9" s="20">
        <v>6660</v>
      </c>
      <c r="F9" s="20" t="s">
        <v>2146</v>
      </c>
    </row>
    <row r="10" spans="1:7">
      <c r="A10" s="21">
        <v>44162.646273148152</v>
      </c>
      <c r="B10" s="20" t="s">
        <v>305</v>
      </c>
      <c r="C10" s="2">
        <v>0</v>
      </c>
      <c r="D10" s="20">
        <v>72900</v>
      </c>
      <c r="E10" s="20">
        <v>4860</v>
      </c>
      <c r="F10" s="20" t="s">
        <v>2146</v>
      </c>
    </row>
    <row r="11" spans="1:7">
      <c r="A11" s="21">
        <v>44162.647685185184</v>
      </c>
      <c r="B11" s="20" t="s">
        <v>305</v>
      </c>
      <c r="C11" s="2">
        <v>0</v>
      </c>
      <c r="D11" s="20">
        <v>72900</v>
      </c>
      <c r="E11" s="20">
        <v>4860</v>
      </c>
      <c r="F11" s="20" t="s">
        <v>2146</v>
      </c>
    </row>
    <row r="12" spans="1:7">
      <c r="A12" s="21">
        <v>44162.649594907409</v>
      </c>
      <c r="B12" s="20" t="s">
        <v>305</v>
      </c>
      <c r="C12" s="2">
        <v>0</v>
      </c>
      <c r="D12" s="20">
        <v>5265</v>
      </c>
      <c r="E12" s="20">
        <v>5265</v>
      </c>
      <c r="F12" s="20" t="s">
        <v>2146</v>
      </c>
    </row>
    <row r="13" spans="1:7">
      <c r="A13" s="21">
        <v>44162.650324074071</v>
      </c>
      <c r="B13" s="20" t="s">
        <v>305</v>
      </c>
      <c r="C13" s="2">
        <v>0</v>
      </c>
      <c r="D13" s="20">
        <v>14175</v>
      </c>
      <c r="E13" s="20">
        <v>4725</v>
      </c>
      <c r="F13" s="20" t="s">
        <v>2146</v>
      </c>
    </row>
    <row r="14" spans="1:7">
      <c r="A14" s="21">
        <v>44162.654120370367</v>
      </c>
      <c r="B14" s="20" t="s">
        <v>208</v>
      </c>
      <c r="C14" s="2">
        <v>0</v>
      </c>
      <c r="D14" s="20">
        <v>34020</v>
      </c>
      <c r="E14" s="20">
        <v>4860</v>
      </c>
      <c r="F14" s="20" t="s">
        <v>2146</v>
      </c>
    </row>
    <row r="15" spans="1:7">
      <c r="A15" s="21">
        <v>44162.655231481483</v>
      </c>
      <c r="B15" s="20" t="s">
        <v>208</v>
      </c>
      <c r="C15" s="2">
        <v>0</v>
      </c>
      <c r="D15" s="20">
        <v>2835</v>
      </c>
      <c r="E15" s="20">
        <v>2835</v>
      </c>
      <c r="F15" s="20" t="s">
        <v>2146</v>
      </c>
    </row>
    <row r="16" spans="1:7">
      <c r="A16" s="21">
        <v>44162.656724537039</v>
      </c>
      <c r="B16" s="20" t="s">
        <v>212</v>
      </c>
      <c r="C16" s="2">
        <v>0</v>
      </c>
      <c r="D16" s="20">
        <v>2250</v>
      </c>
      <c r="E16" s="20">
        <v>750</v>
      </c>
      <c r="F16" s="20" t="s">
        <v>2146</v>
      </c>
    </row>
    <row r="17" spans="1:7">
      <c r="A17" s="21">
        <v>44162.65761574074</v>
      </c>
      <c r="B17" s="20" t="s">
        <v>212</v>
      </c>
      <c r="C17" s="2">
        <v>0</v>
      </c>
      <c r="D17" s="20">
        <v>780</v>
      </c>
      <c r="E17" s="20">
        <v>780</v>
      </c>
      <c r="F17" s="20" t="s">
        <v>2146</v>
      </c>
    </row>
    <row r="18" spans="1:7">
      <c r="A18" s="21">
        <v>44162.659120370372</v>
      </c>
      <c r="B18" s="20" t="s">
        <v>212</v>
      </c>
      <c r="C18" s="2">
        <v>0</v>
      </c>
      <c r="D18" s="20">
        <v>83700</v>
      </c>
      <c r="E18" s="20">
        <v>900</v>
      </c>
      <c r="F18" s="20" t="s">
        <v>2146</v>
      </c>
    </row>
    <row r="19" spans="1:7">
      <c r="A19" s="21">
        <v>44162.665300925924</v>
      </c>
      <c r="B19" s="20" t="s">
        <v>420</v>
      </c>
      <c r="C19" s="2">
        <v>0</v>
      </c>
      <c r="D19" s="20">
        <v>450</v>
      </c>
      <c r="E19" s="20">
        <v>450</v>
      </c>
      <c r="F19" s="20" t="s">
        <v>2146</v>
      </c>
    </row>
    <row r="20" spans="1:7">
      <c r="A20" s="21">
        <v>44162.66611111111</v>
      </c>
      <c r="B20" s="20" t="s">
        <v>420</v>
      </c>
      <c r="C20" s="2">
        <v>0</v>
      </c>
      <c r="D20" s="20">
        <v>18900</v>
      </c>
      <c r="E20" s="20">
        <v>900</v>
      </c>
      <c r="F20" s="20" t="s">
        <v>2146</v>
      </c>
    </row>
    <row r="21" spans="1:7">
      <c r="A21" s="21">
        <v>44162.66810185185</v>
      </c>
      <c r="B21" s="20" t="s">
        <v>273</v>
      </c>
      <c r="C21" s="2">
        <v>0</v>
      </c>
      <c r="D21" s="20">
        <v>630</v>
      </c>
      <c r="E21" s="20">
        <v>630</v>
      </c>
      <c r="F21" s="20" t="s">
        <v>2146</v>
      </c>
    </row>
    <row r="22" spans="1:7">
      <c r="A22" s="21">
        <v>44162.669027777774</v>
      </c>
      <c r="B22" s="20" t="s">
        <v>273</v>
      </c>
      <c r="C22" s="2">
        <v>0</v>
      </c>
      <c r="D22" s="20">
        <v>10800</v>
      </c>
      <c r="E22" s="20">
        <v>900</v>
      </c>
      <c r="F22" s="20" t="s">
        <v>2146</v>
      </c>
    </row>
    <row r="23" spans="1:7">
      <c r="A23" s="21">
        <v>44162.670439814814</v>
      </c>
      <c r="B23" s="20" t="s">
        <v>432</v>
      </c>
      <c r="C23" s="2">
        <v>0</v>
      </c>
      <c r="D23" s="20">
        <v>210</v>
      </c>
      <c r="E23" s="20">
        <v>210</v>
      </c>
      <c r="F23" s="20" t="s">
        <v>2146</v>
      </c>
    </row>
    <row r="24" spans="1:7">
      <c r="A24" s="21">
        <v>44162.670902777776</v>
      </c>
      <c r="B24" s="20" t="s">
        <v>432</v>
      </c>
      <c r="C24" s="2">
        <v>0</v>
      </c>
      <c r="D24" s="20">
        <v>1500</v>
      </c>
      <c r="E24" s="20">
        <v>750</v>
      </c>
      <c r="F24" s="20" t="s">
        <v>2146</v>
      </c>
    </row>
    <row r="25" spans="1:7">
      <c r="A25" s="21">
        <v>44162.672442129631</v>
      </c>
      <c r="B25" s="20" t="s">
        <v>432</v>
      </c>
      <c r="C25" s="2">
        <v>0</v>
      </c>
      <c r="D25" s="20">
        <v>16200</v>
      </c>
      <c r="E25" s="20">
        <v>900</v>
      </c>
      <c r="F25" s="20" t="s">
        <v>2146</v>
      </c>
      <c r="G25" s="40"/>
    </row>
    <row r="26" spans="1:7">
      <c r="A26" s="21">
        <v>44162.674259259256</v>
      </c>
      <c r="B26" s="20" t="s">
        <v>228</v>
      </c>
      <c r="C26" s="2">
        <v>0</v>
      </c>
      <c r="D26" s="20">
        <v>28800</v>
      </c>
      <c r="E26" s="20">
        <v>720</v>
      </c>
      <c r="F26" s="20" t="s">
        <v>2146</v>
      </c>
    </row>
    <row r="27" spans="1:7">
      <c r="A27" s="21">
        <v>44162.678506944445</v>
      </c>
      <c r="B27" s="20" t="s">
        <v>345</v>
      </c>
      <c r="C27" s="2">
        <v>0</v>
      </c>
      <c r="D27" s="20">
        <v>1120</v>
      </c>
      <c r="E27" s="20">
        <v>1120</v>
      </c>
      <c r="F27" s="20" t="s">
        <v>2146</v>
      </c>
    </row>
    <row r="28" spans="1:7">
      <c r="A28" s="21">
        <v>44162.679201388892</v>
      </c>
      <c r="B28" s="20" t="s">
        <v>345</v>
      </c>
      <c r="C28" s="2">
        <v>0</v>
      </c>
      <c r="D28" s="20">
        <v>28800</v>
      </c>
      <c r="E28" s="20">
        <v>2400</v>
      </c>
      <c r="F28" s="20" t="s">
        <v>2146</v>
      </c>
    </row>
    <row r="29" spans="1:7">
      <c r="A29" s="21">
        <v>44162.680578703701</v>
      </c>
      <c r="B29" s="20" t="s">
        <v>347</v>
      </c>
      <c r="C29" s="2">
        <v>0</v>
      </c>
      <c r="D29" s="20">
        <v>128</v>
      </c>
      <c r="E29" s="20">
        <v>64</v>
      </c>
      <c r="F29" s="20" t="s">
        <v>2146</v>
      </c>
    </row>
    <row r="30" spans="1:7">
      <c r="A30" s="21">
        <v>44162.681377314817</v>
      </c>
      <c r="B30" s="20" t="s">
        <v>347</v>
      </c>
      <c r="C30" s="2">
        <v>0</v>
      </c>
      <c r="D30" s="20">
        <v>33408</v>
      </c>
      <c r="E30" s="20">
        <v>384</v>
      </c>
      <c r="F30" s="20" t="s">
        <v>2146</v>
      </c>
    </row>
    <row r="31" spans="1:7">
      <c r="A31" s="21">
        <v>44162.688032407408</v>
      </c>
      <c r="B31" s="20" t="s">
        <v>329</v>
      </c>
      <c r="C31" s="2">
        <v>0</v>
      </c>
      <c r="D31" s="20">
        <v>3456</v>
      </c>
      <c r="E31" s="20">
        <v>384</v>
      </c>
      <c r="F31" s="20" t="s">
        <v>2146</v>
      </c>
    </row>
    <row r="32" spans="1:7">
      <c r="A32" s="21">
        <v>44162.689803240741</v>
      </c>
      <c r="B32" s="20" t="s">
        <v>329</v>
      </c>
      <c r="C32" s="2">
        <v>0</v>
      </c>
      <c r="D32" s="20">
        <v>4860</v>
      </c>
      <c r="E32" s="20">
        <v>53460</v>
      </c>
      <c r="F32" s="20" t="s">
        <v>2146</v>
      </c>
    </row>
    <row r="33" spans="1:6">
      <c r="A33" s="21">
        <v>44162.68986111111</v>
      </c>
      <c r="B33" s="20" t="s">
        <v>329</v>
      </c>
      <c r="C33" s="2">
        <v>0</v>
      </c>
      <c r="D33" s="20">
        <v>4860</v>
      </c>
      <c r="E33" s="20">
        <v>53460</v>
      </c>
      <c r="F33" s="20" t="s">
        <v>2146</v>
      </c>
    </row>
    <row r="34" spans="1:6">
      <c r="A34" s="21">
        <v>44162.690115740741</v>
      </c>
      <c r="B34" s="20" t="s">
        <v>329</v>
      </c>
      <c r="C34" s="2">
        <v>0</v>
      </c>
      <c r="D34" s="20">
        <v>53460</v>
      </c>
      <c r="E34" s="20">
        <v>4860</v>
      </c>
      <c r="F34" s="20" t="s">
        <v>2146</v>
      </c>
    </row>
    <row r="35" spans="1:6">
      <c r="A35" s="21">
        <v>44162.692650462966</v>
      </c>
      <c r="B35" s="20" t="s">
        <v>275</v>
      </c>
      <c r="C35" s="2">
        <v>0</v>
      </c>
      <c r="D35" s="20">
        <v>168480</v>
      </c>
      <c r="E35" s="20">
        <v>3240</v>
      </c>
      <c r="F35" s="20" t="s">
        <v>2146</v>
      </c>
    </row>
    <row r="36" spans="1:6">
      <c r="A36" s="21">
        <v>44162.696215277778</v>
      </c>
      <c r="B36" s="20" t="s">
        <v>309</v>
      </c>
      <c r="C36" s="2">
        <v>0</v>
      </c>
      <c r="D36" s="20">
        <v>540</v>
      </c>
      <c r="E36" s="20">
        <v>540</v>
      </c>
      <c r="F36" s="20" t="s">
        <v>2146</v>
      </c>
    </row>
    <row r="37" spans="1:6">
      <c r="A37" s="21">
        <v>44162.696712962963</v>
      </c>
      <c r="B37" s="20" t="s">
        <v>311</v>
      </c>
      <c r="C37" s="2">
        <v>0</v>
      </c>
      <c r="D37" s="20">
        <v>540</v>
      </c>
      <c r="E37" s="20">
        <v>540</v>
      </c>
      <c r="F37" s="20" t="s">
        <v>2146</v>
      </c>
    </row>
    <row r="38" spans="1:6">
      <c r="A38" s="21">
        <v>44162.697222222225</v>
      </c>
      <c r="B38" s="20" t="s">
        <v>243</v>
      </c>
      <c r="C38" s="2">
        <v>0</v>
      </c>
      <c r="D38" s="20">
        <v>1620</v>
      </c>
      <c r="E38" s="20">
        <v>540</v>
      </c>
      <c r="F38" s="20" t="s">
        <v>2146</v>
      </c>
    </row>
    <row r="39" spans="1:6">
      <c r="A39" s="21">
        <v>44162.697777777779</v>
      </c>
      <c r="B39" s="20" t="s">
        <v>245</v>
      </c>
      <c r="C39" s="2">
        <v>0</v>
      </c>
      <c r="D39" s="20">
        <v>1620</v>
      </c>
      <c r="E39" s="20">
        <v>540</v>
      </c>
      <c r="F39" s="20" t="s">
        <v>2146</v>
      </c>
    </row>
    <row r="40" spans="1:6">
      <c r="A40" s="21">
        <v>44162.698368055557</v>
      </c>
      <c r="B40" s="20" t="s">
        <v>413</v>
      </c>
      <c r="C40" s="2">
        <v>0</v>
      </c>
      <c r="D40" s="20">
        <v>4000</v>
      </c>
      <c r="E40" s="20">
        <v>1000</v>
      </c>
      <c r="F40" s="20" t="s">
        <v>2146</v>
      </c>
    </row>
    <row r="41" spans="1:6">
      <c r="A41" s="21">
        <v>44162.69903935185</v>
      </c>
      <c r="B41" s="20" t="s">
        <v>415</v>
      </c>
      <c r="C41" s="2">
        <v>0</v>
      </c>
      <c r="D41" s="20">
        <v>4000</v>
      </c>
      <c r="E41" s="20">
        <v>1000</v>
      </c>
      <c r="F41" s="20" t="s">
        <v>2146</v>
      </c>
    </row>
    <row r="42" spans="1:6">
      <c r="A42" s="21">
        <v>44162.699803240743</v>
      </c>
      <c r="B42" s="20" t="s">
        <v>253</v>
      </c>
      <c r="C42" s="2">
        <v>0</v>
      </c>
      <c r="D42" s="20">
        <v>2000</v>
      </c>
      <c r="E42" s="20">
        <v>1000</v>
      </c>
      <c r="F42" s="20" t="s">
        <v>2146</v>
      </c>
    </row>
    <row r="43" spans="1:6">
      <c r="A43" s="21">
        <v>44162.700428240743</v>
      </c>
      <c r="B43" s="20" t="s">
        <v>562</v>
      </c>
      <c r="C43" s="2">
        <v>0</v>
      </c>
      <c r="D43" s="20">
        <v>1000</v>
      </c>
      <c r="E43" s="20">
        <v>1000</v>
      </c>
      <c r="F43" s="20" t="s">
        <v>2146</v>
      </c>
    </row>
    <row r="44" spans="1:6">
      <c r="A44" s="21">
        <v>44162.70103009259</v>
      </c>
      <c r="B44" s="20" t="s">
        <v>359</v>
      </c>
      <c r="C44" s="2">
        <v>0</v>
      </c>
      <c r="D44" s="20">
        <v>1000</v>
      </c>
      <c r="E44" s="20">
        <v>1000</v>
      </c>
      <c r="F44" s="20" t="s">
        <v>2146</v>
      </c>
    </row>
    <row r="45" spans="1:6">
      <c r="A45" s="21">
        <v>44162.701377314814</v>
      </c>
      <c r="B45" s="20" t="s">
        <v>361</v>
      </c>
      <c r="C45" s="2">
        <v>0</v>
      </c>
      <c r="D45" s="20">
        <v>1000</v>
      </c>
      <c r="E45" s="20">
        <v>1000</v>
      </c>
      <c r="F45" s="20" t="s">
        <v>2146</v>
      </c>
    </row>
    <row r="46" spans="1:6">
      <c r="A46" s="21">
        <v>44162.701817129629</v>
      </c>
      <c r="B46" s="20" t="s">
        <v>277</v>
      </c>
      <c r="C46" s="2">
        <v>0</v>
      </c>
      <c r="D46" s="20">
        <v>3000</v>
      </c>
      <c r="E46" s="20">
        <v>1000</v>
      </c>
      <c r="F46" s="20" t="s">
        <v>2146</v>
      </c>
    </row>
    <row r="47" spans="1:6">
      <c r="A47" s="21">
        <v>44162.702418981484</v>
      </c>
      <c r="B47" s="20" t="s">
        <v>279</v>
      </c>
      <c r="C47" s="2">
        <v>0</v>
      </c>
      <c r="D47" s="20">
        <v>3000</v>
      </c>
      <c r="E47" s="20">
        <v>1000</v>
      </c>
      <c r="F47" s="20" t="s">
        <v>2146</v>
      </c>
    </row>
    <row r="48" spans="1:6">
      <c r="A48" s="21">
        <v>44162.703032407408</v>
      </c>
      <c r="B48" s="20" t="s">
        <v>439</v>
      </c>
      <c r="C48" s="2">
        <v>0</v>
      </c>
      <c r="D48" s="20">
        <v>2000</v>
      </c>
      <c r="E48" s="20">
        <v>1000</v>
      </c>
      <c r="F48" s="20" t="s">
        <v>2146</v>
      </c>
    </row>
    <row r="49" spans="1:6">
      <c r="A49" s="21">
        <v>44162.704699074071</v>
      </c>
      <c r="B49" s="20" t="s">
        <v>393</v>
      </c>
      <c r="C49" s="2">
        <v>0</v>
      </c>
      <c r="D49" s="20">
        <v>1000</v>
      </c>
      <c r="E49" s="20">
        <v>1000</v>
      </c>
      <c r="F49" s="20" t="s">
        <v>2146</v>
      </c>
    </row>
    <row r="50" spans="1:6">
      <c r="A50" s="21">
        <v>44162.70548611111</v>
      </c>
      <c r="B50" s="20" t="s">
        <v>584</v>
      </c>
      <c r="C50" s="2">
        <v>0</v>
      </c>
      <c r="D50" s="20">
        <v>6000</v>
      </c>
      <c r="E50" s="20">
        <v>1000</v>
      </c>
      <c r="F50" s="20" t="s">
        <v>2146</v>
      </c>
    </row>
    <row r="51" spans="1:6">
      <c r="A51" s="21">
        <v>44162.706261574072</v>
      </c>
      <c r="B51" s="20" t="s">
        <v>331</v>
      </c>
      <c r="C51" s="2">
        <v>0</v>
      </c>
      <c r="D51" s="20">
        <v>1000</v>
      </c>
      <c r="E51" s="20">
        <v>1000</v>
      </c>
      <c r="F51" s="20" t="s">
        <v>2146</v>
      </c>
    </row>
    <row r="52" spans="1:6">
      <c r="A52" s="21">
        <v>44162.84103009259</v>
      </c>
      <c r="B52" s="20" t="s">
        <v>228</v>
      </c>
      <c r="C52" s="2">
        <v>5800006262</v>
      </c>
      <c r="D52" s="20">
        <v>17280</v>
      </c>
      <c r="E52" s="20">
        <v>720</v>
      </c>
      <c r="F52" s="20" t="s">
        <v>2146</v>
      </c>
    </row>
    <row r="53" spans="1:6">
      <c r="A53" s="21">
        <v>44165.460474537038</v>
      </c>
      <c r="B53" s="20" t="s">
        <v>251</v>
      </c>
      <c r="C53" s="2">
        <v>0</v>
      </c>
      <c r="D53" s="20">
        <v>1000</v>
      </c>
      <c r="E53" s="20">
        <v>1000</v>
      </c>
      <c r="F53" s="20" t="s">
        <v>2146</v>
      </c>
    </row>
    <row r="54" spans="1:6">
      <c r="A54" s="21">
        <v>44165.468460648146</v>
      </c>
      <c r="B54" s="20" t="s">
        <v>253</v>
      </c>
      <c r="C54" s="2">
        <v>0</v>
      </c>
      <c r="D54" s="20">
        <v>1000</v>
      </c>
      <c r="E54" s="20">
        <v>1000</v>
      </c>
      <c r="F54" s="20" t="s">
        <v>2146</v>
      </c>
    </row>
    <row r="55" spans="1:6">
      <c r="A55" s="21">
        <v>44165.469143518516</v>
      </c>
      <c r="B55" s="20" t="s">
        <v>243</v>
      </c>
      <c r="C55" s="2">
        <v>0</v>
      </c>
      <c r="D55" s="20">
        <v>5940</v>
      </c>
      <c r="E55" s="20">
        <v>540</v>
      </c>
      <c r="F55" s="20" t="s">
        <v>2146</v>
      </c>
    </row>
    <row r="56" spans="1:6">
      <c r="A56" s="21">
        <v>44165.470243055555</v>
      </c>
      <c r="B56" s="20" t="s">
        <v>245</v>
      </c>
      <c r="C56" s="2">
        <v>0</v>
      </c>
      <c r="D56" s="20">
        <v>5940</v>
      </c>
      <c r="E56" s="20">
        <v>540</v>
      </c>
      <c r="F56" s="20" t="s">
        <v>2146</v>
      </c>
    </row>
    <row r="57" spans="1:6">
      <c r="A57" s="21">
        <v>44165.472893518519</v>
      </c>
      <c r="B57" s="20" t="s">
        <v>243</v>
      </c>
      <c r="C57" s="2">
        <v>0</v>
      </c>
      <c r="D57" s="20">
        <v>2160</v>
      </c>
      <c r="E57" s="20">
        <v>540</v>
      </c>
      <c r="F57" s="20" t="s">
        <v>2146</v>
      </c>
    </row>
    <row r="58" spans="1:6">
      <c r="A58" s="21">
        <v>44165.473645833335</v>
      </c>
      <c r="B58" s="20" t="s">
        <v>245</v>
      </c>
      <c r="C58" s="2">
        <v>0</v>
      </c>
      <c r="D58" s="20">
        <v>2160</v>
      </c>
      <c r="E58" s="20">
        <v>540</v>
      </c>
      <c r="F58" s="20" t="s">
        <v>2146</v>
      </c>
    </row>
    <row r="59" spans="1:6">
      <c r="A59" s="21">
        <v>44165.474641203706</v>
      </c>
      <c r="B59" s="20" t="s">
        <v>453</v>
      </c>
      <c r="C59" s="2">
        <v>0</v>
      </c>
      <c r="D59" s="20">
        <v>3000</v>
      </c>
      <c r="E59" s="20">
        <v>1000</v>
      </c>
      <c r="F59" s="20" t="s">
        <v>2146</v>
      </c>
    </row>
    <row r="60" spans="1:6">
      <c r="A60" s="21">
        <v>44165.47619212963</v>
      </c>
      <c r="B60" s="20" t="s">
        <v>454</v>
      </c>
      <c r="C60" s="2">
        <v>0</v>
      </c>
      <c r="D60" s="20">
        <v>3000</v>
      </c>
      <c r="E60" s="20">
        <v>1000</v>
      </c>
      <c r="F60" s="20" t="s">
        <v>2146</v>
      </c>
    </row>
    <row r="61" spans="1:6">
      <c r="A61" s="21">
        <v>44165.642071759263</v>
      </c>
      <c r="B61" s="20" t="s">
        <v>251</v>
      </c>
      <c r="C61" s="2">
        <v>0</v>
      </c>
      <c r="D61" s="20">
        <v>30000</v>
      </c>
      <c r="E61" s="20">
        <v>1000</v>
      </c>
      <c r="F61" s="20" t="s">
        <v>2146</v>
      </c>
    </row>
    <row r="62" spans="1:6">
      <c r="A62" s="21">
        <v>44166.378634259258</v>
      </c>
      <c r="B62" s="20" t="s">
        <v>228</v>
      </c>
      <c r="C62" s="2">
        <v>5300006262</v>
      </c>
      <c r="D62" s="20">
        <v>17280</v>
      </c>
      <c r="E62" s="20">
        <v>720</v>
      </c>
      <c r="F62" s="20" t="s">
        <v>2146</v>
      </c>
    </row>
    <row r="63" spans="1:6">
      <c r="A63" s="21">
        <v>44166.464768518519</v>
      </c>
      <c r="B63" s="20" t="s">
        <v>228</v>
      </c>
      <c r="C63" s="2">
        <v>5800005556</v>
      </c>
      <c r="D63" s="20">
        <v>17280</v>
      </c>
      <c r="E63" s="20">
        <v>1440</v>
      </c>
      <c r="F63" s="20" t="s">
        <v>2146</v>
      </c>
    </row>
    <row r="64" spans="1:6">
      <c r="A64" s="21">
        <v>44166.754618055558</v>
      </c>
      <c r="B64" s="20" t="s">
        <v>606</v>
      </c>
      <c r="C64" s="2">
        <v>5800006692</v>
      </c>
      <c r="D64" s="20">
        <v>75600</v>
      </c>
      <c r="E64" s="20">
        <v>6300</v>
      </c>
      <c r="F64" s="20" t="s">
        <v>2146</v>
      </c>
    </row>
    <row r="65" spans="1:6">
      <c r="A65" s="21">
        <v>44166.757071759261</v>
      </c>
      <c r="B65" s="20" t="s">
        <v>606</v>
      </c>
      <c r="C65" s="2">
        <v>5800006692</v>
      </c>
      <c r="D65" s="20">
        <v>75600</v>
      </c>
      <c r="E65" s="20">
        <v>6300</v>
      </c>
      <c r="F65" s="20" t="s">
        <v>2146</v>
      </c>
    </row>
    <row r="66" spans="1:6">
      <c r="A66" s="21">
        <v>44166.765104166669</v>
      </c>
      <c r="B66" s="20" t="s">
        <v>616</v>
      </c>
      <c r="C66" s="2">
        <v>5800006204</v>
      </c>
      <c r="D66" s="20">
        <v>47040</v>
      </c>
      <c r="E66" s="20">
        <v>3920</v>
      </c>
      <c r="F66" s="20" t="s">
        <v>2146</v>
      </c>
    </row>
    <row r="67" spans="1:6">
      <c r="A67" s="21">
        <v>44166.768472222226</v>
      </c>
      <c r="B67" s="20" t="s">
        <v>196</v>
      </c>
      <c r="C67" s="2">
        <v>5800006445</v>
      </c>
      <c r="D67" s="20">
        <v>40000</v>
      </c>
      <c r="E67" s="20">
        <v>7000</v>
      </c>
      <c r="F67" s="20" t="s">
        <v>2146</v>
      </c>
    </row>
    <row r="68" spans="1:6">
      <c r="A68" s="21">
        <v>44166.772256944445</v>
      </c>
      <c r="B68" s="20" t="s">
        <v>1722</v>
      </c>
      <c r="C68" s="2">
        <v>5800006691</v>
      </c>
      <c r="D68" s="20">
        <v>50000</v>
      </c>
      <c r="E68" s="20">
        <v>8750</v>
      </c>
      <c r="F68" s="20" t="s">
        <v>2146</v>
      </c>
    </row>
    <row r="69" spans="1:6">
      <c r="A69" s="21">
        <v>44166.774548611109</v>
      </c>
      <c r="B69" s="20" t="s">
        <v>309</v>
      </c>
      <c r="C69" s="2">
        <v>0</v>
      </c>
      <c r="D69" s="20">
        <v>7560</v>
      </c>
      <c r="E69" s="20">
        <v>540</v>
      </c>
      <c r="F69" s="20" t="s">
        <v>2146</v>
      </c>
    </row>
    <row r="70" spans="1:6">
      <c r="A70" s="21">
        <v>44166.777719907404</v>
      </c>
      <c r="B70" s="20" t="s">
        <v>311</v>
      </c>
      <c r="C70" s="2">
        <v>0</v>
      </c>
      <c r="D70" s="20">
        <v>7560</v>
      </c>
      <c r="E70" s="20">
        <v>540</v>
      </c>
      <c r="F70" s="20" t="s">
        <v>2146</v>
      </c>
    </row>
    <row r="71" spans="1:6">
      <c r="A71" s="21">
        <v>44166.781076388892</v>
      </c>
      <c r="B71" s="20" t="s">
        <v>315</v>
      </c>
      <c r="C71" s="2">
        <v>0</v>
      </c>
      <c r="D71" s="20">
        <v>1000</v>
      </c>
      <c r="E71" s="20">
        <v>1000</v>
      </c>
      <c r="F71" s="20" t="s">
        <v>2146</v>
      </c>
    </row>
    <row r="72" spans="1:6">
      <c r="A72" s="21">
        <v>44166.782673611109</v>
      </c>
      <c r="B72" s="20" t="s">
        <v>584</v>
      </c>
      <c r="C72" s="2">
        <v>0</v>
      </c>
      <c r="D72" s="20">
        <v>4000</v>
      </c>
      <c r="E72" s="20">
        <v>500</v>
      </c>
      <c r="F72" s="20" t="s">
        <v>2146</v>
      </c>
    </row>
    <row r="73" spans="1:6">
      <c r="A73" s="21">
        <v>44166.785358796296</v>
      </c>
      <c r="B73" s="20" t="s">
        <v>243</v>
      </c>
      <c r="C73" s="2">
        <v>0</v>
      </c>
      <c r="D73" s="20">
        <v>2160</v>
      </c>
      <c r="E73" s="20">
        <v>540</v>
      </c>
      <c r="F73" s="20" t="s">
        <v>2146</v>
      </c>
    </row>
    <row r="74" spans="1:6">
      <c r="A74" s="21">
        <v>44166.788703703707</v>
      </c>
      <c r="B74" s="20" t="s">
        <v>245</v>
      </c>
      <c r="C74" s="2">
        <v>0</v>
      </c>
      <c r="D74" s="20">
        <v>2160</v>
      </c>
      <c r="E74" s="20">
        <v>540</v>
      </c>
      <c r="F74" s="20" t="s">
        <v>2146</v>
      </c>
    </row>
    <row r="75" spans="1:6">
      <c r="A75" s="21">
        <v>44166.790277777778</v>
      </c>
      <c r="B75" s="20" t="s">
        <v>453</v>
      </c>
      <c r="C75" s="2">
        <v>0</v>
      </c>
      <c r="D75" s="20">
        <v>3000</v>
      </c>
      <c r="E75" s="20">
        <v>1000</v>
      </c>
      <c r="F75" s="20" t="s">
        <v>2146</v>
      </c>
    </row>
    <row r="76" spans="1:6">
      <c r="A76" s="21">
        <v>44166.790868055556</v>
      </c>
      <c r="B76" s="20" t="s">
        <v>454</v>
      </c>
      <c r="C76" s="2">
        <v>0</v>
      </c>
      <c r="D76" s="20">
        <v>3000</v>
      </c>
      <c r="E76" s="20">
        <v>1000</v>
      </c>
      <c r="F76" s="20" t="s">
        <v>2146</v>
      </c>
    </row>
    <row r="77" spans="1:6">
      <c r="A77" s="21">
        <v>44167.758217592593</v>
      </c>
      <c r="B77" s="20" t="s">
        <v>103</v>
      </c>
      <c r="C77" s="2">
        <v>5800006200</v>
      </c>
      <c r="D77" s="20">
        <v>73920</v>
      </c>
      <c r="E77" s="20">
        <v>6720</v>
      </c>
      <c r="F77" s="20" t="s">
        <v>2146</v>
      </c>
    </row>
    <row r="78" spans="1:6">
      <c r="A78" s="21">
        <v>44167.761770833335</v>
      </c>
      <c r="B78" s="20" t="s">
        <v>105</v>
      </c>
      <c r="C78" s="2">
        <v>5800006200</v>
      </c>
      <c r="D78" s="20">
        <v>46340</v>
      </c>
      <c r="E78" s="20">
        <v>11520</v>
      </c>
      <c r="F78" s="20" t="s">
        <v>2146</v>
      </c>
    </row>
    <row r="79" spans="1:6">
      <c r="A79" s="21">
        <v>44167.764201388891</v>
      </c>
      <c r="B79" s="20" t="s">
        <v>105</v>
      </c>
      <c r="C79" s="2">
        <v>5800006200</v>
      </c>
      <c r="D79" s="20">
        <v>46340</v>
      </c>
      <c r="E79" s="20">
        <v>11520</v>
      </c>
      <c r="F79" s="20" t="s">
        <v>2146</v>
      </c>
    </row>
    <row r="80" spans="1:6">
      <c r="A80" s="21">
        <v>44167.772094907406</v>
      </c>
      <c r="B80" s="20" t="s">
        <v>606</v>
      </c>
      <c r="C80" s="2">
        <v>5800006692</v>
      </c>
      <c r="D80" s="20">
        <v>75600</v>
      </c>
      <c r="E80" s="20">
        <v>6300</v>
      </c>
      <c r="F80" s="20" t="s">
        <v>2146</v>
      </c>
    </row>
    <row r="81" spans="1:6">
      <c r="A81" s="21">
        <v>44167.776238425926</v>
      </c>
      <c r="B81" s="20" t="s">
        <v>604</v>
      </c>
      <c r="C81" s="2">
        <v>5800006553</v>
      </c>
      <c r="D81" s="20">
        <v>29360</v>
      </c>
      <c r="E81" s="20">
        <v>5760</v>
      </c>
      <c r="F81" s="20" t="s">
        <v>2146</v>
      </c>
    </row>
    <row r="82" spans="1:6">
      <c r="A82" s="21">
        <v>44167.777812499997</v>
      </c>
      <c r="B82" s="20" t="s">
        <v>103</v>
      </c>
      <c r="C82" s="2">
        <v>580006069</v>
      </c>
      <c r="D82" s="20">
        <v>53808</v>
      </c>
      <c r="E82" s="20">
        <v>6720</v>
      </c>
      <c r="F82" s="20" t="s">
        <v>2146</v>
      </c>
    </row>
    <row r="83" spans="1:6">
      <c r="A83" s="21">
        <v>44167.779108796298</v>
      </c>
      <c r="B83" s="20" t="s">
        <v>105</v>
      </c>
      <c r="C83" s="2">
        <v>5800006200</v>
      </c>
      <c r="D83" s="20">
        <v>34560</v>
      </c>
      <c r="E83" s="20">
        <v>11520</v>
      </c>
      <c r="F83" s="20" t="s">
        <v>2146</v>
      </c>
    </row>
    <row r="84" spans="1:6">
      <c r="A84" s="21">
        <v>44167.780497685184</v>
      </c>
      <c r="B84" s="20" t="s">
        <v>604</v>
      </c>
      <c r="C84" s="2">
        <v>5800006200</v>
      </c>
      <c r="D84" s="20">
        <v>52520</v>
      </c>
      <c r="E84" s="20">
        <v>5760</v>
      </c>
      <c r="F84" s="20" t="s">
        <v>2146</v>
      </c>
    </row>
    <row r="85" spans="1:6">
      <c r="A85" s="21">
        <v>44167.782708333332</v>
      </c>
      <c r="B85" s="20" t="s">
        <v>303</v>
      </c>
      <c r="C85" s="2">
        <v>5800006617</v>
      </c>
      <c r="D85" s="20">
        <v>27720</v>
      </c>
      <c r="E85" s="20">
        <v>23100</v>
      </c>
      <c r="F85" s="20" t="s">
        <v>2146</v>
      </c>
    </row>
    <row r="86" spans="1:6">
      <c r="A86" s="21">
        <v>44167.783703703702</v>
      </c>
      <c r="B86" s="20" t="s">
        <v>208</v>
      </c>
      <c r="C86" s="2">
        <v>5800006145</v>
      </c>
      <c r="D86" s="20">
        <v>6480</v>
      </c>
      <c r="E86" s="20">
        <v>4860</v>
      </c>
      <c r="F86" s="20" t="s">
        <v>2146</v>
      </c>
    </row>
    <row r="87" spans="1:6">
      <c r="A87" s="21">
        <v>44167.784351851849</v>
      </c>
      <c r="B87" s="20" t="s">
        <v>212</v>
      </c>
      <c r="C87" s="2">
        <v>5800006705</v>
      </c>
      <c r="D87" s="20">
        <v>1230</v>
      </c>
      <c r="E87" s="20">
        <v>900</v>
      </c>
      <c r="F87" s="20" t="s">
        <v>2146</v>
      </c>
    </row>
    <row r="88" spans="1:6">
      <c r="A88" s="21">
        <v>44167.785474537035</v>
      </c>
      <c r="B88" s="20" t="s">
        <v>273</v>
      </c>
      <c r="C88" s="2">
        <v>5800006799</v>
      </c>
      <c r="D88" s="20">
        <v>2610</v>
      </c>
      <c r="E88" s="20">
        <v>900</v>
      </c>
      <c r="F88" s="20" t="s">
        <v>2146</v>
      </c>
    </row>
    <row r="89" spans="1:6">
      <c r="A89" s="21">
        <v>44167.788449074076</v>
      </c>
      <c r="B89" s="20" t="s">
        <v>309</v>
      </c>
      <c r="C89" s="2">
        <v>0</v>
      </c>
      <c r="D89" s="20">
        <v>7020</v>
      </c>
      <c r="E89" s="20">
        <v>540</v>
      </c>
      <c r="F89" s="20" t="s">
        <v>2146</v>
      </c>
    </row>
    <row r="90" spans="1:6">
      <c r="A90" s="21">
        <v>44167.791655092595</v>
      </c>
      <c r="B90" s="20" t="s">
        <v>311</v>
      </c>
      <c r="C90" s="2">
        <v>0</v>
      </c>
      <c r="D90" s="20">
        <v>7020</v>
      </c>
      <c r="E90" s="20">
        <v>540</v>
      </c>
      <c r="F90" s="20" t="s">
        <v>2146</v>
      </c>
    </row>
    <row r="91" spans="1:6">
      <c r="A91" s="21">
        <v>44167.793252314812</v>
      </c>
      <c r="B91" s="20" t="s">
        <v>415</v>
      </c>
      <c r="C91" s="2">
        <v>0</v>
      </c>
      <c r="D91" s="20">
        <v>2000</v>
      </c>
      <c r="E91" s="20">
        <v>1000</v>
      </c>
      <c r="F91" s="20" t="s">
        <v>2146</v>
      </c>
    </row>
    <row r="92" spans="1:6">
      <c r="A92" s="21">
        <v>44167.794270833336</v>
      </c>
      <c r="B92" s="20" t="s">
        <v>313</v>
      </c>
      <c r="C92" s="2">
        <v>0</v>
      </c>
      <c r="D92" s="20">
        <v>7000</v>
      </c>
      <c r="E92" s="20">
        <v>1000</v>
      </c>
      <c r="F92" s="20" t="s">
        <v>2146</v>
      </c>
    </row>
    <row r="93" spans="1:6">
      <c r="A93" s="21">
        <v>44167.795312499999</v>
      </c>
      <c r="B93" s="20" t="s">
        <v>315</v>
      </c>
      <c r="C93" s="2">
        <v>0</v>
      </c>
      <c r="D93" s="20">
        <v>7000</v>
      </c>
      <c r="E93" s="20">
        <v>1000</v>
      </c>
      <c r="F93" s="20" t="s">
        <v>2146</v>
      </c>
    </row>
    <row r="94" spans="1:6">
      <c r="A94" s="21">
        <v>44167.797280092593</v>
      </c>
      <c r="B94" s="20" t="s">
        <v>584</v>
      </c>
      <c r="C94" s="2">
        <v>0</v>
      </c>
      <c r="D94" s="20">
        <v>2500</v>
      </c>
      <c r="E94" s="20">
        <v>500</v>
      </c>
      <c r="F94" s="20" t="s">
        <v>2146</v>
      </c>
    </row>
    <row r="95" spans="1:6">
      <c r="A95" s="21">
        <v>44167.798229166663</v>
      </c>
      <c r="B95" s="20" t="s">
        <v>243</v>
      </c>
      <c r="C95" s="2">
        <v>0</v>
      </c>
      <c r="D95" s="20">
        <v>3240</v>
      </c>
      <c r="E95" s="20">
        <v>540</v>
      </c>
      <c r="F95" s="20" t="s">
        <v>2146</v>
      </c>
    </row>
    <row r="96" spans="1:6">
      <c r="A96" s="21">
        <v>44167.800729166665</v>
      </c>
      <c r="B96" s="20" t="s">
        <v>245</v>
      </c>
      <c r="C96" s="2">
        <v>0</v>
      </c>
      <c r="D96" s="20">
        <v>3240</v>
      </c>
      <c r="E96" s="20">
        <v>540</v>
      </c>
      <c r="F96" s="20" t="s">
        <v>2146</v>
      </c>
    </row>
    <row r="97" spans="1:6">
      <c r="A97" s="21">
        <v>44167.803368055553</v>
      </c>
      <c r="B97" s="20" t="s">
        <v>251</v>
      </c>
      <c r="C97" s="2">
        <v>0</v>
      </c>
      <c r="D97" s="20">
        <v>4000</v>
      </c>
      <c r="E97" s="20">
        <v>1000</v>
      </c>
      <c r="F97" s="20" t="s">
        <v>2146</v>
      </c>
    </row>
    <row r="98" spans="1:6">
      <c r="A98" s="21">
        <v>44167.804756944446</v>
      </c>
      <c r="B98" s="20" t="s">
        <v>253</v>
      </c>
      <c r="C98" s="2">
        <v>0</v>
      </c>
      <c r="D98" s="20">
        <v>4000</v>
      </c>
      <c r="E98" s="20">
        <v>1000</v>
      </c>
      <c r="F98" s="20" t="s">
        <v>2146</v>
      </c>
    </row>
    <row r="99" spans="1:6">
      <c r="A99" s="21">
        <v>44167.805671296293</v>
      </c>
      <c r="B99" s="20" t="s">
        <v>453</v>
      </c>
      <c r="C99" s="2">
        <v>0</v>
      </c>
      <c r="D99" s="20">
        <v>1000</v>
      </c>
      <c r="E99" s="20">
        <v>1000</v>
      </c>
      <c r="F99" s="20" t="s">
        <v>2146</v>
      </c>
    </row>
    <row r="100" spans="1:6">
      <c r="A100" s="21">
        <v>44167.806527777779</v>
      </c>
      <c r="B100" s="20" t="s">
        <v>454</v>
      </c>
      <c r="C100" s="2">
        <v>0</v>
      </c>
      <c r="D100" s="20">
        <v>3000</v>
      </c>
      <c r="E100" s="20">
        <v>1000</v>
      </c>
      <c r="F100" s="20" t="s">
        <v>2146</v>
      </c>
    </row>
    <row r="101" spans="1:6">
      <c r="A101" s="21">
        <v>44168.641064814816</v>
      </c>
      <c r="B101" s="20" t="s">
        <v>604</v>
      </c>
      <c r="C101" s="2">
        <v>5800006553</v>
      </c>
      <c r="D101" s="20">
        <v>29360</v>
      </c>
      <c r="E101" s="20">
        <v>5760</v>
      </c>
      <c r="F101" s="20" t="s">
        <v>2146</v>
      </c>
    </row>
    <row r="102" spans="1:6">
      <c r="A102" s="21">
        <v>44169.402372685188</v>
      </c>
      <c r="B102" s="20" t="s">
        <v>305</v>
      </c>
      <c r="C102" s="2">
        <v>5800006266</v>
      </c>
      <c r="D102" s="20">
        <v>9720</v>
      </c>
      <c r="E102" s="20">
        <v>4860</v>
      </c>
      <c r="F102" s="20" t="s">
        <v>2146</v>
      </c>
    </row>
    <row r="103" spans="1:6">
      <c r="A103" s="21">
        <v>44169.404733796298</v>
      </c>
      <c r="B103" s="20" t="s">
        <v>208</v>
      </c>
      <c r="C103" s="2">
        <v>5800006145</v>
      </c>
      <c r="D103" s="20">
        <v>9720</v>
      </c>
      <c r="E103" s="20">
        <v>4860</v>
      </c>
      <c r="F103" s="20" t="s">
        <v>2146</v>
      </c>
    </row>
    <row r="104" spans="1:6">
      <c r="A104" s="21">
        <v>44169.406423611108</v>
      </c>
      <c r="B104" s="20" t="s">
        <v>273</v>
      </c>
      <c r="C104" s="2">
        <v>5800006361</v>
      </c>
      <c r="D104" s="20">
        <v>10800</v>
      </c>
      <c r="E104" s="20">
        <v>900</v>
      </c>
      <c r="F104" s="20" t="s">
        <v>2146</v>
      </c>
    </row>
    <row r="105" spans="1:6">
      <c r="A105" s="21">
        <v>44169.408680555556</v>
      </c>
      <c r="B105" s="20" t="s">
        <v>155</v>
      </c>
      <c r="C105" s="2">
        <v>5800006233</v>
      </c>
      <c r="D105" s="20">
        <v>40000</v>
      </c>
      <c r="E105" s="20">
        <v>8000</v>
      </c>
      <c r="F105" s="20" t="s">
        <v>2146</v>
      </c>
    </row>
    <row r="106" spans="1:6">
      <c r="A106" s="21">
        <v>44169.409699074073</v>
      </c>
      <c r="B106" s="20" t="s">
        <v>212</v>
      </c>
      <c r="C106" s="2">
        <v>5800006705</v>
      </c>
      <c r="D106" s="20">
        <v>7200</v>
      </c>
      <c r="E106" s="20">
        <v>900</v>
      </c>
      <c r="F106" s="20" t="s">
        <v>2146</v>
      </c>
    </row>
    <row r="107" spans="1:6">
      <c r="A107" s="21">
        <v>44169.410891203705</v>
      </c>
      <c r="B107" s="20" t="s">
        <v>305</v>
      </c>
      <c r="C107" s="2">
        <v>58006266</v>
      </c>
      <c r="D107" s="20">
        <v>4860</v>
      </c>
      <c r="E107" s="20">
        <v>4860</v>
      </c>
      <c r="F107" s="20" t="s">
        <v>2146</v>
      </c>
    </row>
    <row r="108" spans="1:6">
      <c r="A108" s="21">
        <v>44169.411354166667</v>
      </c>
      <c r="B108" s="20" t="s">
        <v>273</v>
      </c>
      <c r="C108" s="2">
        <v>5800006361</v>
      </c>
      <c r="D108" s="20">
        <v>900</v>
      </c>
      <c r="E108" s="20">
        <v>900</v>
      </c>
      <c r="F108" s="20" t="s">
        <v>2146</v>
      </c>
    </row>
    <row r="109" spans="1:6">
      <c r="A109" s="21">
        <v>44169.411874999998</v>
      </c>
      <c r="B109" s="20" t="s">
        <v>155</v>
      </c>
      <c r="C109" s="2">
        <v>5800006233</v>
      </c>
      <c r="D109" s="20">
        <v>32000</v>
      </c>
      <c r="E109" s="20">
        <v>8000</v>
      </c>
      <c r="F109" s="20" t="s">
        <v>2146</v>
      </c>
    </row>
    <row r="110" spans="1:6">
      <c r="A110" s="21">
        <v>44169.413703703707</v>
      </c>
      <c r="B110" s="20" t="s">
        <v>232</v>
      </c>
      <c r="C110" s="2">
        <v>5800006151</v>
      </c>
      <c r="D110" s="20">
        <v>12960</v>
      </c>
      <c r="E110" s="20">
        <v>6480</v>
      </c>
      <c r="F110" s="20" t="s">
        <v>2146</v>
      </c>
    </row>
    <row r="111" spans="1:6">
      <c r="A111" s="21">
        <v>44169.414571759262</v>
      </c>
      <c r="B111" s="20" t="s">
        <v>212</v>
      </c>
      <c r="C111" s="2">
        <v>5800006705</v>
      </c>
      <c r="D111" s="20">
        <v>7200</v>
      </c>
      <c r="E111" s="20">
        <v>900</v>
      </c>
      <c r="F111" s="20" t="s">
        <v>2146</v>
      </c>
    </row>
    <row r="112" spans="1:6">
      <c r="A112" s="21">
        <v>44169.415682870371</v>
      </c>
      <c r="B112" s="20" t="s">
        <v>275</v>
      </c>
      <c r="C112" s="2">
        <v>5800005236</v>
      </c>
      <c r="D112" s="20">
        <v>21000</v>
      </c>
      <c r="E112" s="20">
        <v>3240</v>
      </c>
      <c r="F112" s="20" t="s">
        <v>2146</v>
      </c>
    </row>
    <row r="113" spans="1:6">
      <c r="A113" s="21">
        <v>44169.790914351855</v>
      </c>
      <c r="B113" s="20" t="s">
        <v>210</v>
      </c>
      <c r="C113" s="2">
        <v>0</v>
      </c>
      <c r="D113" s="20">
        <v>2000</v>
      </c>
      <c r="E113" s="20">
        <v>1000</v>
      </c>
      <c r="F113" s="20" t="s">
        <v>2403</v>
      </c>
    </row>
    <row r="114" spans="1:6">
      <c r="A114" s="21">
        <v>44169.801921296297</v>
      </c>
      <c r="B114" s="20" t="s">
        <v>212</v>
      </c>
      <c r="C114" s="2">
        <v>0</v>
      </c>
      <c r="D114" s="20">
        <v>1800</v>
      </c>
      <c r="E114" s="20">
        <v>900</v>
      </c>
      <c r="F114" s="50">
        <v>43933</v>
      </c>
    </row>
    <row r="115" spans="1:6">
      <c r="A115" s="21">
        <v>44173.462638888886</v>
      </c>
      <c r="B115" s="20" t="s">
        <v>228</v>
      </c>
      <c r="C115" s="2">
        <v>0</v>
      </c>
      <c r="D115" s="20">
        <v>6500</v>
      </c>
      <c r="E115" s="20">
        <v>720</v>
      </c>
      <c r="F115" s="50">
        <v>44055</v>
      </c>
    </row>
    <row r="116" spans="1:6">
      <c r="A116" s="21">
        <v>44173.467013888891</v>
      </c>
      <c r="B116" s="20" t="s">
        <v>204</v>
      </c>
      <c r="C116" s="2">
        <v>0</v>
      </c>
      <c r="D116" s="20">
        <v>7200</v>
      </c>
      <c r="E116" s="20">
        <v>760</v>
      </c>
      <c r="F116" s="50">
        <v>44055</v>
      </c>
    </row>
    <row r="117" spans="1:6">
      <c r="A117" s="21">
        <v>44173.469212962962</v>
      </c>
      <c r="B117" s="20" t="s">
        <v>204</v>
      </c>
      <c r="C117" s="2">
        <v>0</v>
      </c>
      <c r="D117" s="20">
        <v>5468</v>
      </c>
      <c r="E117" s="20">
        <v>720</v>
      </c>
      <c r="F117" s="50">
        <v>44055</v>
      </c>
    </row>
    <row r="118" spans="1:6">
      <c r="A118" s="21">
        <v>44173.471574074072</v>
      </c>
      <c r="B118" s="20" t="s">
        <v>204</v>
      </c>
      <c r="C118" s="2">
        <v>0</v>
      </c>
      <c r="D118" s="20">
        <v>6480</v>
      </c>
      <c r="E118" s="20">
        <v>100</v>
      </c>
      <c r="F118" s="50">
        <v>44055</v>
      </c>
    </row>
    <row r="119" spans="1:6">
      <c r="A119" s="21">
        <v>44173.4768287037</v>
      </c>
      <c r="B119" s="20" t="s">
        <v>228</v>
      </c>
      <c r="C119" s="2">
        <v>0</v>
      </c>
      <c r="D119" s="20">
        <v>1440</v>
      </c>
      <c r="E119" s="20">
        <v>720</v>
      </c>
      <c r="F119" s="50">
        <v>44055</v>
      </c>
    </row>
    <row r="120" spans="1:6">
      <c r="A120" s="21">
        <v>44173.477719907409</v>
      </c>
      <c r="B120" s="20" t="s">
        <v>228</v>
      </c>
      <c r="C120" s="2">
        <v>0</v>
      </c>
      <c r="D120" s="20">
        <v>1440</v>
      </c>
      <c r="E120" s="20">
        <v>720</v>
      </c>
      <c r="F120" s="50">
        <v>44055</v>
      </c>
    </row>
    <row r="121" spans="1:6">
      <c r="A121" s="21">
        <v>44173.478796296295</v>
      </c>
      <c r="B121" s="20" t="s">
        <v>228</v>
      </c>
      <c r="C121" s="2">
        <v>0</v>
      </c>
      <c r="D121" s="20">
        <v>1440</v>
      </c>
      <c r="E121" s="20">
        <v>720</v>
      </c>
      <c r="F121" s="50">
        <v>44055</v>
      </c>
    </row>
    <row r="122" spans="1:6">
      <c r="A122" s="21">
        <v>44173.480162037034</v>
      </c>
      <c r="B122" s="20" t="s">
        <v>228</v>
      </c>
      <c r="C122" s="2">
        <v>0</v>
      </c>
      <c r="D122" s="20">
        <v>1440</v>
      </c>
      <c r="E122" s="20">
        <v>720</v>
      </c>
      <c r="F122" s="50">
        <v>44055</v>
      </c>
    </row>
    <row r="123" spans="1:6">
      <c r="A123" s="21">
        <v>44173.481006944443</v>
      </c>
      <c r="B123" s="20" t="s">
        <v>228</v>
      </c>
      <c r="C123" s="2">
        <v>0</v>
      </c>
      <c r="D123" s="20">
        <v>1440</v>
      </c>
      <c r="E123" s="20">
        <v>720</v>
      </c>
      <c r="F123" s="50">
        <v>44055</v>
      </c>
    </row>
    <row r="124" spans="1:6">
      <c r="A124" s="21">
        <v>44173.482685185183</v>
      </c>
      <c r="B124" s="20" t="s">
        <v>228</v>
      </c>
      <c r="C124" s="2">
        <v>0</v>
      </c>
      <c r="D124" s="20">
        <v>1440</v>
      </c>
      <c r="E124" s="20">
        <v>720</v>
      </c>
      <c r="F124" s="50">
        <v>44055</v>
      </c>
    </row>
    <row r="125" spans="1:6">
      <c r="A125" s="21">
        <v>44173.48300925926</v>
      </c>
      <c r="B125" s="20" t="s">
        <v>228</v>
      </c>
      <c r="C125" s="2">
        <v>0</v>
      </c>
      <c r="D125" s="20">
        <v>1440</v>
      </c>
      <c r="E125" s="20">
        <v>720</v>
      </c>
      <c r="F125" s="50">
        <v>44055</v>
      </c>
    </row>
    <row r="126" spans="1:6">
      <c r="A126" s="21">
        <v>44173.491875</v>
      </c>
      <c r="B126" s="20" t="s">
        <v>228</v>
      </c>
      <c r="C126" s="2">
        <v>0</v>
      </c>
      <c r="D126" s="20">
        <v>2140</v>
      </c>
      <c r="E126" s="20">
        <v>720</v>
      </c>
      <c r="F126" s="50">
        <v>44055</v>
      </c>
    </row>
    <row r="127" spans="1:6">
      <c r="A127" s="21">
        <v>44173.492719907408</v>
      </c>
      <c r="B127" s="20" t="s">
        <v>228</v>
      </c>
      <c r="C127" s="2">
        <v>0</v>
      </c>
      <c r="D127" s="20">
        <v>3000</v>
      </c>
      <c r="E127" s="20">
        <v>720</v>
      </c>
      <c r="F127" s="50">
        <v>44055</v>
      </c>
    </row>
    <row r="128" spans="1:6">
      <c r="A128" s="21">
        <v>44173.82340277778</v>
      </c>
      <c r="B128" s="20" t="s">
        <v>196</v>
      </c>
      <c r="C128" s="2">
        <v>5800006445</v>
      </c>
      <c r="D128" s="20">
        <v>40000</v>
      </c>
      <c r="E128" s="20">
        <v>7000</v>
      </c>
      <c r="F128" s="50">
        <v>44086</v>
      </c>
    </row>
    <row r="129" spans="1:6">
      <c r="A129" s="21">
        <v>44173.824363425927</v>
      </c>
      <c r="B129" s="20" t="s">
        <v>196</v>
      </c>
      <c r="C129" s="2">
        <v>5800006445</v>
      </c>
      <c r="D129" s="20">
        <v>40000</v>
      </c>
      <c r="E129" s="20">
        <v>7000</v>
      </c>
      <c r="F129" s="50">
        <v>44055</v>
      </c>
    </row>
    <row r="130" spans="1:6">
      <c r="A130" s="21">
        <v>44173.824895833335</v>
      </c>
      <c r="B130" s="20" t="s">
        <v>196</v>
      </c>
      <c r="C130" s="2">
        <v>5800006445</v>
      </c>
      <c r="D130" s="20">
        <v>40000</v>
      </c>
      <c r="E130" s="20">
        <v>7000</v>
      </c>
      <c r="F130" s="50">
        <v>44086</v>
      </c>
    </row>
    <row r="131" spans="1:6">
      <c r="A131" s="21">
        <v>44181.365324074075</v>
      </c>
      <c r="B131" s="20" t="s">
        <v>167</v>
      </c>
      <c r="C131" s="2">
        <v>5800006601</v>
      </c>
      <c r="D131" s="20">
        <v>50400</v>
      </c>
      <c r="E131" s="20">
        <v>16000</v>
      </c>
      <c r="F131" s="20" t="s">
        <v>2439</v>
      </c>
    </row>
    <row r="132" spans="1:6">
      <c r="A132" s="21">
        <v>44181.366365740738</v>
      </c>
      <c r="B132" s="20" t="s">
        <v>167</v>
      </c>
      <c r="C132" s="2">
        <v>5800006601</v>
      </c>
      <c r="D132" s="20">
        <v>50400</v>
      </c>
      <c r="E132" s="20">
        <v>16000</v>
      </c>
      <c r="F132" s="20" t="s">
        <v>2439</v>
      </c>
    </row>
    <row r="133" spans="1:6">
      <c r="A133" s="21">
        <v>44181.601087962961</v>
      </c>
      <c r="B133" s="20" t="s">
        <v>103</v>
      </c>
      <c r="C133" s="2">
        <v>5800006200</v>
      </c>
      <c r="D133" s="20">
        <v>33600</v>
      </c>
      <c r="E133" s="20">
        <v>6720</v>
      </c>
      <c r="F133" s="20" t="s">
        <v>2440</v>
      </c>
    </row>
    <row r="134" spans="1:6">
      <c r="A134" s="21">
        <v>44181.602592592593</v>
      </c>
      <c r="B134" s="20" t="s">
        <v>105</v>
      </c>
      <c r="C134" s="2">
        <v>5800006200</v>
      </c>
      <c r="D134" s="20">
        <v>34560</v>
      </c>
      <c r="E134" s="20">
        <v>11520</v>
      </c>
      <c r="F134" s="20" t="s">
        <v>2440</v>
      </c>
    </row>
    <row r="135" spans="1:6">
      <c r="A135" s="21">
        <v>44181.612407407411</v>
      </c>
      <c r="B135" s="20" t="s">
        <v>604</v>
      </c>
      <c r="C135" s="2">
        <v>5800006650</v>
      </c>
      <c r="D135" s="20">
        <v>57600</v>
      </c>
      <c r="E135" s="20">
        <v>5760</v>
      </c>
      <c r="F135" s="20" t="s">
        <v>2440</v>
      </c>
    </row>
    <row r="136" spans="1:6">
      <c r="A136" s="21">
        <v>44181.613564814812</v>
      </c>
      <c r="B136" s="20" t="s">
        <v>604</v>
      </c>
      <c r="C136" s="2">
        <v>5800007011</v>
      </c>
      <c r="D136" s="20">
        <v>20000</v>
      </c>
      <c r="E136" s="20">
        <v>5760</v>
      </c>
      <c r="F136" s="20" t="s">
        <v>2440</v>
      </c>
    </row>
    <row r="137" spans="1:6">
      <c r="A137" s="21">
        <v>44181.658125000002</v>
      </c>
      <c r="B137" s="20" t="s">
        <v>606</v>
      </c>
      <c r="C137" s="2">
        <v>5800007011</v>
      </c>
      <c r="D137" s="20">
        <v>20000</v>
      </c>
      <c r="E137" s="20">
        <v>10000</v>
      </c>
      <c r="F137" s="20" t="s">
        <v>2440</v>
      </c>
    </row>
    <row r="138" spans="1:6">
      <c r="A138" s="21">
        <v>44182.345370370371</v>
      </c>
      <c r="B138" s="20" t="s">
        <v>558</v>
      </c>
      <c r="C138" s="2">
        <v>6800009266</v>
      </c>
      <c r="D138" s="20">
        <v>5310</v>
      </c>
      <c r="E138" s="20">
        <v>900</v>
      </c>
      <c r="F138" s="20" t="s">
        <v>2440</v>
      </c>
    </row>
    <row r="139" spans="1:6">
      <c r="A139" s="21">
        <v>44182.347280092596</v>
      </c>
      <c r="B139" s="20" t="s">
        <v>155</v>
      </c>
      <c r="C139" s="2">
        <v>5800006233</v>
      </c>
      <c r="D139" s="20">
        <v>8000</v>
      </c>
      <c r="E139" s="20">
        <v>8000</v>
      </c>
      <c r="F139" s="20" t="s">
        <v>2440</v>
      </c>
    </row>
    <row r="140" spans="1:6">
      <c r="A140" s="21">
        <v>44182.350347222222</v>
      </c>
      <c r="B140" s="20" t="s">
        <v>232</v>
      </c>
      <c r="C140" s="2">
        <v>5800006362</v>
      </c>
      <c r="D140" s="20">
        <v>15660</v>
      </c>
      <c r="E140" s="20">
        <v>6480</v>
      </c>
      <c r="F140" s="20" t="s">
        <v>2440</v>
      </c>
    </row>
    <row r="141" spans="1:6">
      <c r="A141" s="21">
        <v>44182.362187500003</v>
      </c>
      <c r="B141" s="20" t="s">
        <v>2441</v>
      </c>
      <c r="C141" s="2">
        <v>5800006618</v>
      </c>
      <c r="D141" s="20">
        <v>4536</v>
      </c>
      <c r="E141" s="20">
        <v>4536</v>
      </c>
      <c r="F141" s="20" t="s">
        <v>2440</v>
      </c>
    </row>
    <row r="142" spans="1:6">
      <c r="A142" s="21">
        <v>44182.362662037034</v>
      </c>
      <c r="B142" s="20" t="s">
        <v>1612</v>
      </c>
      <c r="C142" s="2">
        <v>5800006618</v>
      </c>
      <c r="D142" s="20">
        <v>4536</v>
      </c>
      <c r="E142" s="20">
        <v>4536</v>
      </c>
      <c r="F142" s="20" t="s">
        <v>2440</v>
      </c>
    </row>
    <row r="143" spans="1:6">
      <c r="A143" s="21">
        <v>44182.377789351849</v>
      </c>
      <c r="B143" s="20" t="s">
        <v>558</v>
      </c>
      <c r="C143" s="2">
        <v>5800006881</v>
      </c>
      <c r="D143" s="20">
        <v>900</v>
      </c>
      <c r="E143" s="20">
        <v>900</v>
      </c>
      <c r="F143" s="20" t="s">
        <v>2440</v>
      </c>
    </row>
    <row r="144" spans="1:6">
      <c r="A144" s="21">
        <v>44182.448460648149</v>
      </c>
      <c r="B144" s="20" t="s">
        <v>443</v>
      </c>
      <c r="C144" s="2">
        <v>5800006923</v>
      </c>
      <c r="D144" s="20">
        <v>5400</v>
      </c>
      <c r="E144" s="20">
        <v>900</v>
      </c>
      <c r="F144" s="20" t="s">
        <v>2442</v>
      </c>
    </row>
    <row r="145" spans="1:6">
      <c r="A145" s="21">
        <v>44182.449791666666</v>
      </c>
      <c r="B145" s="20" t="s">
        <v>558</v>
      </c>
      <c r="C145" s="2">
        <v>5800009266</v>
      </c>
      <c r="D145" s="20">
        <v>900</v>
      </c>
      <c r="E145" s="20">
        <v>900</v>
      </c>
      <c r="F145" s="20" t="s">
        <v>2442</v>
      </c>
    </row>
    <row r="146" spans="1:6">
      <c r="A146" s="21">
        <v>44182.450486111113</v>
      </c>
      <c r="B146" s="20" t="s">
        <v>1612</v>
      </c>
      <c r="C146" s="2">
        <v>5800006618</v>
      </c>
      <c r="D146" s="20">
        <v>22680</v>
      </c>
      <c r="E146" s="20">
        <v>4536</v>
      </c>
      <c r="F146" s="20" t="s">
        <v>2442</v>
      </c>
    </row>
    <row r="147" spans="1:6">
      <c r="A147" s="21">
        <v>44182.451296296298</v>
      </c>
      <c r="B147" s="20" t="s">
        <v>208</v>
      </c>
      <c r="C147" s="2">
        <v>5800006267</v>
      </c>
      <c r="D147" s="20">
        <v>14580</v>
      </c>
      <c r="E147" s="20">
        <v>4860</v>
      </c>
      <c r="F147" s="20" t="s">
        <v>2442</v>
      </c>
    </row>
    <row r="148" spans="1:6">
      <c r="A148" s="21">
        <v>44182.452453703707</v>
      </c>
      <c r="B148" s="20" t="s">
        <v>232</v>
      </c>
      <c r="C148" s="2">
        <v>5800006362</v>
      </c>
      <c r="D148" s="20">
        <v>6480</v>
      </c>
      <c r="E148" s="20">
        <v>6480</v>
      </c>
      <c r="F148" s="20" t="s">
        <v>2442</v>
      </c>
    </row>
    <row r="149" spans="1:6">
      <c r="A149" s="21">
        <v>44182.452905092592</v>
      </c>
      <c r="B149" s="20" t="s">
        <v>155</v>
      </c>
      <c r="C149" s="2">
        <v>5800006233</v>
      </c>
      <c r="D149" s="20">
        <v>24000</v>
      </c>
      <c r="E149" s="20">
        <v>8000</v>
      </c>
      <c r="F149" s="20" t="s">
        <v>2442</v>
      </c>
    </row>
    <row r="150" spans="1:6">
      <c r="A150" s="21">
        <v>44182.664317129631</v>
      </c>
      <c r="B150" s="20" t="s">
        <v>303</v>
      </c>
      <c r="C150" s="2">
        <v>5800006939</v>
      </c>
      <c r="D150" s="20">
        <v>27720</v>
      </c>
      <c r="E150" s="20">
        <v>27720</v>
      </c>
      <c r="F150" s="20" t="s">
        <v>2442</v>
      </c>
    </row>
    <row r="151" spans="1:6">
      <c r="A151" s="21">
        <v>44182.665219907409</v>
      </c>
      <c r="B151" s="20" t="s">
        <v>443</v>
      </c>
      <c r="C151" s="2">
        <v>5800006923</v>
      </c>
      <c r="D151" s="20">
        <v>1770</v>
      </c>
      <c r="E151" s="20">
        <v>900</v>
      </c>
      <c r="F151" s="20" t="s">
        <v>2442</v>
      </c>
    </row>
    <row r="152" spans="1:6">
      <c r="A152" s="21">
        <v>44182.66615740741</v>
      </c>
      <c r="B152" s="20" t="s">
        <v>443</v>
      </c>
      <c r="C152" s="2">
        <v>5800006923</v>
      </c>
      <c r="D152" s="20">
        <v>1770</v>
      </c>
      <c r="E152" s="20">
        <v>900</v>
      </c>
      <c r="F152" s="20" t="s">
        <v>2442</v>
      </c>
    </row>
    <row r="153" spans="1:6">
      <c r="A153" s="21">
        <v>44182.667002314818</v>
      </c>
      <c r="B153" s="20" t="s">
        <v>305</v>
      </c>
      <c r="C153" s="2">
        <v>5800006266</v>
      </c>
      <c r="D153" s="20">
        <v>9720</v>
      </c>
      <c r="E153" s="20">
        <v>4860</v>
      </c>
      <c r="F153" s="20" t="s">
        <v>2442</v>
      </c>
    </row>
    <row r="154" spans="1:6">
      <c r="A154" s="21">
        <v>44182.667650462965</v>
      </c>
      <c r="B154" s="20" t="s">
        <v>558</v>
      </c>
      <c r="C154" s="2">
        <v>6800009266</v>
      </c>
      <c r="D154" s="20">
        <v>8130</v>
      </c>
      <c r="E154" s="20">
        <v>900</v>
      </c>
      <c r="F154" s="20" t="s">
        <v>2442</v>
      </c>
    </row>
    <row r="155" spans="1:6">
      <c r="A155" s="21">
        <v>44182.66878472222</v>
      </c>
      <c r="B155" s="20" t="s">
        <v>1612</v>
      </c>
      <c r="C155" s="2">
        <v>5800006618</v>
      </c>
      <c r="D155" s="20">
        <v>13608</v>
      </c>
      <c r="E155" s="20">
        <v>4536</v>
      </c>
      <c r="F155" s="20" t="s">
        <v>2442</v>
      </c>
    </row>
    <row r="156" spans="1:6">
      <c r="A156" s="21">
        <v>44182.669861111113</v>
      </c>
      <c r="B156" s="20" t="s">
        <v>1626</v>
      </c>
      <c r="C156" s="2">
        <v>5800006617</v>
      </c>
      <c r="D156" s="20">
        <v>13500</v>
      </c>
      <c r="E156" s="20">
        <v>13500</v>
      </c>
      <c r="F156" s="20" t="s">
        <v>2442</v>
      </c>
    </row>
    <row r="157" spans="1:6">
      <c r="A157" s="21">
        <v>44182.688009259262</v>
      </c>
      <c r="B157" s="20" t="s">
        <v>558</v>
      </c>
      <c r="C157" s="2">
        <v>6800009266</v>
      </c>
      <c r="D157" s="20">
        <v>8100</v>
      </c>
      <c r="E157" s="20">
        <v>900</v>
      </c>
      <c r="F157" s="20" t="s">
        <v>2442</v>
      </c>
    </row>
    <row r="158" spans="1:6">
      <c r="A158" s="21">
        <v>44182.705011574071</v>
      </c>
      <c r="B158" s="20" t="s">
        <v>606</v>
      </c>
      <c r="C158" s="2">
        <v>5800006692</v>
      </c>
      <c r="D158" s="20">
        <v>75600</v>
      </c>
      <c r="E158" s="20">
        <v>6300</v>
      </c>
      <c r="F158" s="20" t="s">
        <v>2442</v>
      </c>
    </row>
    <row r="159" spans="1:6">
      <c r="A159" s="21">
        <v>44182.708738425928</v>
      </c>
      <c r="B159" s="20" t="s">
        <v>228</v>
      </c>
      <c r="C159" s="2">
        <v>5800005871</v>
      </c>
      <c r="D159" s="20">
        <v>17280</v>
      </c>
      <c r="E159" s="20">
        <v>1440</v>
      </c>
      <c r="F159" s="20" t="s">
        <v>2442</v>
      </c>
    </row>
    <row r="160" spans="1:6">
      <c r="A160" s="21">
        <v>44183.610578703701</v>
      </c>
      <c r="B160" s="20" t="s">
        <v>228</v>
      </c>
      <c r="C160" s="2">
        <v>5800005871</v>
      </c>
      <c r="D160" s="20">
        <v>17280</v>
      </c>
      <c r="E160" s="20">
        <v>720</v>
      </c>
      <c r="F160" s="20" t="s">
        <v>2443</v>
      </c>
    </row>
    <row r="161" spans="1:6">
      <c r="A161" s="21">
        <v>44183.610914351855</v>
      </c>
      <c r="B161" s="20" t="s">
        <v>228</v>
      </c>
      <c r="C161" s="2">
        <v>5800005871</v>
      </c>
      <c r="D161" s="20">
        <v>17280</v>
      </c>
      <c r="E161" s="20">
        <v>1440</v>
      </c>
      <c r="F161" s="20" t="s">
        <v>2443</v>
      </c>
    </row>
    <row r="162" spans="1:6">
      <c r="A162" s="21">
        <v>44186.452777777777</v>
      </c>
      <c r="B162" s="20" t="s">
        <v>228</v>
      </c>
      <c r="C162" s="2">
        <v>5800006093</v>
      </c>
      <c r="D162" s="20">
        <v>43680</v>
      </c>
      <c r="E162" s="20">
        <v>720</v>
      </c>
      <c r="F162" s="20" t="s">
        <v>2444</v>
      </c>
    </row>
    <row r="163" spans="1:6">
      <c r="A163" s="21">
        <v>44186.645370370374</v>
      </c>
      <c r="B163" s="20" t="s">
        <v>228</v>
      </c>
      <c r="C163" s="2">
        <v>5800006093</v>
      </c>
      <c r="D163" s="20">
        <v>43680</v>
      </c>
      <c r="E163" s="20">
        <v>1440</v>
      </c>
      <c r="F163" s="20" t="s">
        <v>2444</v>
      </c>
    </row>
    <row r="164" spans="1:6">
      <c r="A164" s="21">
        <v>44186.783171296294</v>
      </c>
      <c r="B164" s="20" t="s">
        <v>313</v>
      </c>
      <c r="C164" s="2">
        <v>0</v>
      </c>
      <c r="D164" s="20">
        <v>10000</v>
      </c>
      <c r="E164" s="20">
        <v>1000</v>
      </c>
      <c r="F164" s="20" t="s">
        <v>2447</v>
      </c>
    </row>
    <row r="165" spans="1:6">
      <c r="A165" s="21">
        <v>44186.784548611111</v>
      </c>
      <c r="B165" s="20" t="s">
        <v>315</v>
      </c>
      <c r="C165" s="2">
        <v>0</v>
      </c>
      <c r="D165" s="20">
        <v>10000</v>
      </c>
      <c r="E165" s="20">
        <v>1000</v>
      </c>
      <c r="F165" s="20" t="s">
        <v>2447</v>
      </c>
    </row>
    <row r="166" spans="1:6">
      <c r="A166" s="21">
        <v>44186.786296296297</v>
      </c>
      <c r="B166" s="20" t="s">
        <v>413</v>
      </c>
      <c r="C166" s="2">
        <v>0</v>
      </c>
      <c r="D166" s="20">
        <v>10000</v>
      </c>
      <c r="E166" s="20">
        <v>1000</v>
      </c>
      <c r="F166" s="20" t="s">
        <v>2447</v>
      </c>
    </row>
    <row r="167" spans="1:6">
      <c r="A167" s="21">
        <v>44186.787430555552</v>
      </c>
      <c r="B167" s="20" t="s">
        <v>415</v>
      </c>
      <c r="C167" s="2">
        <v>0</v>
      </c>
      <c r="D167" s="20">
        <v>10000</v>
      </c>
      <c r="E167" s="20">
        <v>1000</v>
      </c>
      <c r="F167" s="20" t="s">
        <v>2447</v>
      </c>
    </row>
    <row r="168" spans="1:6">
      <c r="A168" s="21">
        <v>44186.788564814815</v>
      </c>
      <c r="B168" s="20" t="s">
        <v>251</v>
      </c>
      <c r="C168" s="2">
        <v>0</v>
      </c>
      <c r="D168" s="20">
        <v>10000</v>
      </c>
      <c r="E168" s="20">
        <v>1000</v>
      </c>
      <c r="F168" s="20" t="s">
        <v>2447</v>
      </c>
    </row>
    <row r="169" spans="1:6">
      <c r="A169" s="21">
        <v>44186.789618055554</v>
      </c>
      <c r="B169" s="20" t="s">
        <v>253</v>
      </c>
      <c r="C169" s="2">
        <v>0</v>
      </c>
      <c r="D169" s="20">
        <v>10000</v>
      </c>
      <c r="E169" s="20">
        <v>1000</v>
      </c>
      <c r="F169" s="20" t="s">
        <v>2447</v>
      </c>
    </row>
    <row r="170" spans="1:6">
      <c r="A170" s="21">
        <v>44186.790833333333</v>
      </c>
      <c r="B170" s="20" t="s">
        <v>428</v>
      </c>
      <c r="C170" s="2">
        <v>0</v>
      </c>
      <c r="D170" s="20">
        <v>10000</v>
      </c>
      <c r="E170" s="20">
        <v>1000</v>
      </c>
      <c r="F170" s="20" t="s">
        <v>2447</v>
      </c>
    </row>
    <row r="171" spans="1:6">
      <c r="A171" s="21">
        <v>44186.792013888888</v>
      </c>
      <c r="B171" s="20" t="s">
        <v>429</v>
      </c>
      <c r="C171" s="2">
        <v>0</v>
      </c>
      <c r="D171" s="20">
        <v>10000</v>
      </c>
      <c r="E171" s="20">
        <v>1000</v>
      </c>
      <c r="F171" s="20" t="s">
        <v>2447</v>
      </c>
    </row>
    <row r="172" spans="1:6">
      <c r="A172" s="21">
        <v>44186.793032407404</v>
      </c>
      <c r="B172" s="20" t="s">
        <v>562</v>
      </c>
      <c r="C172" s="2">
        <v>0</v>
      </c>
      <c r="D172" s="20">
        <v>10000</v>
      </c>
      <c r="E172" s="20">
        <v>1000</v>
      </c>
      <c r="F172" s="20" t="s">
        <v>2447</v>
      </c>
    </row>
    <row r="173" spans="1:6">
      <c r="A173" s="21">
        <v>44186.794108796297</v>
      </c>
      <c r="B173" s="20" t="s">
        <v>359</v>
      </c>
      <c r="C173" s="2">
        <v>0</v>
      </c>
      <c r="D173" s="20">
        <v>10000</v>
      </c>
      <c r="E173" s="20">
        <v>1000</v>
      </c>
      <c r="F173" s="20" t="s">
        <v>2447</v>
      </c>
    </row>
    <row r="174" spans="1:6">
      <c r="A174" s="21">
        <v>44186.795138888891</v>
      </c>
      <c r="B174" s="20" t="s">
        <v>361</v>
      </c>
      <c r="C174" s="2">
        <v>0</v>
      </c>
      <c r="D174" s="20">
        <v>10000</v>
      </c>
      <c r="E174" s="20">
        <v>1000</v>
      </c>
      <c r="F174" s="20" t="s">
        <v>2447</v>
      </c>
    </row>
    <row r="175" spans="1:6">
      <c r="A175" s="21">
        <v>44186.796168981484</v>
      </c>
      <c r="B175" s="20" t="s">
        <v>277</v>
      </c>
      <c r="C175" s="2">
        <v>0</v>
      </c>
      <c r="D175" s="20">
        <v>10000</v>
      </c>
      <c r="E175" s="20">
        <v>1000</v>
      </c>
      <c r="F175" s="20" t="s">
        <v>2447</v>
      </c>
    </row>
    <row r="176" spans="1:6">
      <c r="A176" s="21">
        <v>44186.797210648147</v>
      </c>
      <c r="B176" s="20" t="s">
        <v>279</v>
      </c>
      <c r="C176" s="2">
        <v>0</v>
      </c>
      <c r="D176" s="20">
        <v>10000</v>
      </c>
      <c r="E176" s="20">
        <v>1000</v>
      </c>
      <c r="F176" s="20" t="s">
        <v>2447</v>
      </c>
    </row>
    <row r="177" spans="1:6">
      <c r="A177" s="21">
        <v>44186.798148148147</v>
      </c>
      <c r="B177" s="20" t="s">
        <v>439</v>
      </c>
      <c r="C177" s="2">
        <v>0</v>
      </c>
      <c r="D177" s="20">
        <v>10000</v>
      </c>
      <c r="E177" s="20">
        <v>1000</v>
      </c>
      <c r="F177" s="20" t="s">
        <v>2447</v>
      </c>
    </row>
    <row r="178" spans="1:6">
      <c r="A178" s="21">
        <v>44186.800706018519</v>
      </c>
      <c r="B178" s="20" t="s">
        <v>440</v>
      </c>
      <c r="C178" s="2">
        <v>0</v>
      </c>
      <c r="D178" s="20">
        <v>10000</v>
      </c>
      <c r="E178" s="20">
        <v>1000</v>
      </c>
      <c r="F178" s="20" t="s">
        <v>2447</v>
      </c>
    </row>
    <row r="179" spans="1:6">
      <c r="A179" s="21">
        <v>44186.801932870374</v>
      </c>
      <c r="B179" s="20" t="s">
        <v>572</v>
      </c>
      <c r="C179" s="2">
        <v>0</v>
      </c>
      <c r="D179" s="20">
        <v>10000</v>
      </c>
      <c r="E179" s="20">
        <v>1000</v>
      </c>
      <c r="F179" s="20" t="s">
        <v>2447</v>
      </c>
    </row>
    <row r="180" spans="1:6">
      <c r="A180" s="21">
        <v>44186.802951388891</v>
      </c>
      <c r="B180" s="20" t="s">
        <v>574</v>
      </c>
      <c r="C180" s="2">
        <v>0</v>
      </c>
      <c r="D180" s="20">
        <v>10000</v>
      </c>
      <c r="E180" s="20">
        <v>1000</v>
      </c>
      <c r="F180" s="20" t="s">
        <v>2447</v>
      </c>
    </row>
    <row r="181" spans="1:6">
      <c r="A181" s="21">
        <v>44186.804513888892</v>
      </c>
      <c r="B181" s="20" t="s">
        <v>576</v>
      </c>
      <c r="C181" s="2">
        <v>0</v>
      </c>
      <c r="D181" s="20">
        <v>5000</v>
      </c>
      <c r="E181" s="20">
        <v>500</v>
      </c>
      <c r="F181" s="20" t="s">
        <v>2447</v>
      </c>
    </row>
    <row r="182" spans="1:6">
      <c r="A182" s="21">
        <v>44186.805763888886</v>
      </c>
      <c r="B182" s="20" t="s">
        <v>578</v>
      </c>
      <c r="C182" s="2">
        <v>0</v>
      </c>
      <c r="D182" s="20">
        <v>10000</v>
      </c>
      <c r="E182" s="20">
        <v>1000</v>
      </c>
      <c r="F182" s="20" t="s">
        <v>2447</v>
      </c>
    </row>
    <row r="183" spans="1:6">
      <c r="A183" s="21">
        <v>44186.807060185187</v>
      </c>
      <c r="B183" s="20" t="s">
        <v>580</v>
      </c>
      <c r="C183" s="2">
        <v>0</v>
      </c>
      <c r="D183" s="20">
        <v>10000</v>
      </c>
      <c r="E183" s="20">
        <v>1000</v>
      </c>
      <c r="F183" s="20" t="s">
        <v>2447</v>
      </c>
    </row>
    <row r="184" spans="1:6">
      <c r="A184" s="21">
        <v>44186.80809027778</v>
      </c>
      <c r="B184" s="20" t="s">
        <v>377</v>
      </c>
      <c r="C184" s="2">
        <v>0</v>
      </c>
      <c r="D184" s="20">
        <v>10000</v>
      </c>
      <c r="E184" s="20">
        <v>1000</v>
      </c>
      <c r="F184" s="20" t="s">
        <v>2447</v>
      </c>
    </row>
    <row r="185" spans="1:6">
      <c r="A185" s="21">
        <v>44187.363229166665</v>
      </c>
      <c r="B185" s="20" t="s">
        <v>432</v>
      </c>
      <c r="C185" s="2">
        <v>5800006805</v>
      </c>
      <c r="D185" s="20">
        <v>9900</v>
      </c>
      <c r="E185" s="20">
        <v>900</v>
      </c>
      <c r="F185" s="20" t="s">
        <v>2448</v>
      </c>
    </row>
    <row r="186" spans="1:6">
      <c r="A186" s="21">
        <v>44187.365358796298</v>
      </c>
      <c r="B186" s="20" t="s">
        <v>1612</v>
      </c>
      <c r="C186" s="2">
        <v>5800006882</v>
      </c>
      <c r="D186" s="20">
        <v>9072</v>
      </c>
      <c r="E186" s="20">
        <v>4536</v>
      </c>
      <c r="F186" s="20" t="s">
        <v>2448</v>
      </c>
    </row>
    <row r="187" spans="1:6">
      <c r="A187" s="21">
        <v>44187.366238425922</v>
      </c>
      <c r="B187" s="20" t="s">
        <v>305</v>
      </c>
      <c r="C187" s="2">
        <v>5800006266</v>
      </c>
      <c r="D187" s="20">
        <v>14580</v>
      </c>
      <c r="E187" s="20">
        <v>4860</v>
      </c>
      <c r="F187" s="20" t="s">
        <v>2448</v>
      </c>
    </row>
    <row r="188" spans="1:6">
      <c r="A188" s="21">
        <v>44187.366828703707</v>
      </c>
      <c r="B188" s="20" t="s">
        <v>155</v>
      </c>
      <c r="C188" s="2">
        <v>5800006637</v>
      </c>
      <c r="D188" s="20">
        <v>32000</v>
      </c>
      <c r="E188" s="20">
        <v>8000</v>
      </c>
      <c r="F188" s="20" t="s">
        <v>2448</v>
      </c>
    </row>
    <row r="189" spans="1:6">
      <c r="A189" s="21">
        <v>44187.368668981479</v>
      </c>
      <c r="B189" s="20" t="s">
        <v>196</v>
      </c>
      <c r="C189" s="2">
        <v>5800006445</v>
      </c>
      <c r="D189" s="20">
        <v>50000</v>
      </c>
      <c r="E189" s="20">
        <v>7000</v>
      </c>
      <c r="F189" s="20" t="s">
        <v>2448</v>
      </c>
    </row>
    <row r="190" spans="1:6">
      <c r="A190" s="21">
        <v>44187.370462962965</v>
      </c>
      <c r="B190" s="20" t="s">
        <v>228</v>
      </c>
      <c r="C190" s="2">
        <v>5800006593</v>
      </c>
      <c r="D190" s="20">
        <v>23760</v>
      </c>
      <c r="E190" s="20">
        <v>720</v>
      </c>
      <c r="F190" s="20" t="s">
        <v>2448</v>
      </c>
    </row>
    <row r="191" spans="1:6">
      <c r="A191" s="21">
        <v>44187.373310185183</v>
      </c>
      <c r="B191" s="20" t="s">
        <v>208</v>
      </c>
      <c r="C191" s="2">
        <v>5800006616</v>
      </c>
      <c r="D191" s="20">
        <v>4860</v>
      </c>
      <c r="E191" s="20">
        <v>4860</v>
      </c>
      <c r="F191" s="20" t="s">
        <v>2448</v>
      </c>
    </row>
    <row r="192" spans="1:6">
      <c r="A192" s="21">
        <v>44187.784756944442</v>
      </c>
      <c r="B192" s="20" t="s">
        <v>1722</v>
      </c>
      <c r="C192" s="2">
        <v>5800006691</v>
      </c>
      <c r="D192" s="20">
        <v>32000</v>
      </c>
      <c r="E192" s="20">
        <v>7000</v>
      </c>
      <c r="F192" s="20" t="s">
        <v>2448</v>
      </c>
    </row>
    <row r="193" spans="1:6">
      <c r="A193" s="21">
        <v>44187.786261574074</v>
      </c>
      <c r="B193" s="20" t="s">
        <v>303</v>
      </c>
      <c r="C193" s="2">
        <v>5800007008</v>
      </c>
      <c r="D193" s="20">
        <v>27720</v>
      </c>
      <c r="E193" s="20">
        <v>27720</v>
      </c>
      <c r="F193" s="20" t="s">
        <v>2448</v>
      </c>
    </row>
    <row r="194" spans="1:6">
      <c r="A194" s="21">
        <v>44187.786898148152</v>
      </c>
      <c r="B194" s="20" t="s">
        <v>1612</v>
      </c>
      <c r="C194" s="2">
        <v>5800006882</v>
      </c>
      <c r="D194" s="20">
        <v>27216</v>
      </c>
      <c r="E194" s="20">
        <v>4536</v>
      </c>
      <c r="F194" s="20" t="s">
        <v>2448</v>
      </c>
    </row>
    <row r="195" spans="1:6">
      <c r="A195" s="21">
        <v>44188.41165509259</v>
      </c>
      <c r="B195" s="20" t="s">
        <v>1612</v>
      </c>
      <c r="C195" s="2">
        <v>5800006355</v>
      </c>
      <c r="D195" s="20">
        <v>14580</v>
      </c>
      <c r="E195" s="20">
        <v>4536</v>
      </c>
      <c r="F195" s="20" t="s">
        <v>2449</v>
      </c>
    </row>
    <row r="196" spans="1:6">
      <c r="A196" s="21">
        <v>44188.413263888891</v>
      </c>
      <c r="B196" s="20" t="s">
        <v>232</v>
      </c>
      <c r="C196" s="2">
        <v>5800006362</v>
      </c>
      <c r="D196" s="20">
        <v>6480</v>
      </c>
      <c r="E196" s="20">
        <v>6480</v>
      </c>
      <c r="F196" s="20" t="s">
        <v>2449</v>
      </c>
    </row>
    <row r="197" spans="1:6">
      <c r="A197" s="21">
        <v>44188.414050925923</v>
      </c>
      <c r="B197" s="20" t="s">
        <v>558</v>
      </c>
      <c r="C197" s="2">
        <v>5800006881</v>
      </c>
      <c r="D197" s="20">
        <v>6300</v>
      </c>
      <c r="E197" s="20">
        <v>900</v>
      </c>
      <c r="F197" s="20" t="s">
        <v>2449</v>
      </c>
    </row>
    <row r="198" spans="1:6">
      <c r="A198" s="21">
        <v>44188.415219907409</v>
      </c>
      <c r="B198" s="20" t="s">
        <v>208</v>
      </c>
      <c r="C198" s="2">
        <v>5800006355</v>
      </c>
      <c r="D198" s="20">
        <v>14580</v>
      </c>
      <c r="E198" s="20">
        <v>4860</v>
      </c>
      <c r="F198" s="20" t="s">
        <v>2449</v>
      </c>
    </row>
    <row r="199" spans="1:6">
      <c r="A199" s="21">
        <v>44188.44840277778</v>
      </c>
      <c r="B199" s="20" t="s">
        <v>208</v>
      </c>
      <c r="C199" s="2">
        <v>5800006355</v>
      </c>
      <c r="D199" s="20">
        <v>14580</v>
      </c>
      <c r="E199" s="20">
        <v>4860</v>
      </c>
      <c r="F199" s="20" t="s">
        <v>2449</v>
      </c>
    </row>
    <row r="200" spans="1:6">
      <c r="A200" s="21">
        <v>44188.449953703705</v>
      </c>
      <c r="B200" s="20" t="s">
        <v>1628</v>
      </c>
      <c r="C200" s="2">
        <v>5800006989</v>
      </c>
      <c r="D200" s="20">
        <v>41400</v>
      </c>
      <c r="E200" s="20">
        <v>20700</v>
      </c>
      <c r="F200" s="20" t="s">
        <v>2449</v>
      </c>
    </row>
    <row r="201" spans="1:6">
      <c r="A201" s="21">
        <v>44188.450810185182</v>
      </c>
      <c r="B201" s="20" t="s">
        <v>1626</v>
      </c>
      <c r="C201" s="2">
        <v>5800006883</v>
      </c>
      <c r="D201" s="20">
        <v>13500</v>
      </c>
      <c r="E201" s="20">
        <v>13500</v>
      </c>
      <c r="F201" s="20" t="s">
        <v>2449</v>
      </c>
    </row>
    <row r="202" spans="1:6">
      <c r="A202" s="21">
        <v>44188.451469907406</v>
      </c>
      <c r="B202" s="20" t="s">
        <v>155</v>
      </c>
      <c r="C202" s="2">
        <v>5800006637</v>
      </c>
      <c r="D202" s="20">
        <v>16000</v>
      </c>
      <c r="E202" s="20">
        <v>8000</v>
      </c>
      <c r="F202" s="20" t="s">
        <v>2449</v>
      </c>
    </row>
    <row r="203" spans="1:6">
      <c r="A203" s="21">
        <v>44188.460347222222</v>
      </c>
      <c r="B203" s="20" t="s">
        <v>275</v>
      </c>
      <c r="C203" s="2">
        <v>5800006035</v>
      </c>
      <c r="D203" s="20">
        <v>21000</v>
      </c>
      <c r="E203" s="20">
        <v>3240</v>
      </c>
      <c r="F203" s="20" t="s">
        <v>2449</v>
      </c>
    </row>
    <row r="204" spans="1:6">
      <c r="A204" s="21">
        <v>44188.673449074071</v>
      </c>
      <c r="B204" s="20" t="s">
        <v>228</v>
      </c>
      <c r="C204" s="2">
        <v>5800006093</v>
      </c>
      <c r="D204" s="20">
        <v>17280</v>
      </c>
      <c r="E204" s="20">
        <v>1440</v>
      </c>
      <c r="F204" s="20" t="s">
        <v>2449</v>
      </c>
    </row>
    <row r="205" spans="1:6">
      <c r="A205" s="21">
        <v>44189.36074074074</v>
      </c>
      <c r="B205" s="20" t="s">
        <v>616</v>
      </c>
      <c r="C205" s="2">
        <v>5800006204</v>
      </c>
      <c r="D205" s="20">
        <v>47240</v>
      </c>
      <c r="E205" s="20">
        <v>3920</v>
      </c>
      <c r="F205" s="20" t="s">
        <v>2450</v>
      </c>
    </row>
    <row r="206" spans="1:6">
      <c r="A206" s="21">
        <v>44189.410127314812</v>
      </c>
      <c r="B206" s="20" t="s">
        <v>103</v>
      </c>
      <c r="C206" s="2">
        <v>5800006200</v>
      </c>
      <c r="D206" s="20">
        <v>67200</v>
      </c>
      <c r="E206" s="20">
        <v>6720</v>
      </c>
      <c r="F206" s="20" t="s">
        <v>2450</v>
      </c>
    </row>
    <row r="207" spans="1:6">
      <c r="A207" s="21">
        <v>44189.419027777774</v>
      </c>
      <c r="B207" s="20" t="s">
        <v>155</v>
      </c>
      <c r="C207" s="2">
        <v>5800007022</v>
      </c>
      <c r="D207" s="20">
        <v>56560</v>
      </c>
      <c r="E207" s="20">
        <v>8000</v>
      </c>
      <c r="F207" s="20" t="s">
        <v>2450</v>
      </c>
    </row>
    <row r="208" spans="1:6">
      <c r="A208" s="21">
        <v>44189.420578703706</v>
      </c>
      <c r="B208" s="20" t="s">
        <v>275</v>
      </c>
      <c r="C208" s="2">
        <v>5800006059</v>
      </c>
      <c r="D208" s="20">
        <v>21000</v>
      </c>
      <c r="E208" s="20">
        <v>3240</v>
      </c>
      <c r="F208" s="20" t="s">
        <v>2450</v>
      </c>
    </row>
    <row r="209" spans="1:6">
      <c r="A209" s="21">
        <v>44189.421782407408</v>
      </c>
      <c r="B209" s="20" t="s">
        <v>208</v>
      </c>
      <c r="C209" s="2">
        <v>5800006616</v>
      </c>
      <c r="D209" s="20">
        <v>19440</v>
      </c>
      <c r="E209" s="20">
        <v>4860</v>
      </c>
      <c r="F209" s="20" t="s">
        <v>2450</v>
      </c>
    </row>
    <row r="210" spans="1:6">
      <c r="A210" s="21">
        <v>44189.422453703701</v>
      </c>
      <c r="B210" s="20" t="s">
        <v>443</v>
      </c>
      <c r="C210" s="2">
        <v>5800006923</v>
      </c>
      <c r="D210" s="20">
        <v>4500</v>
      </c>
      <c r="E210" s="20">
        <v>900</v>
      </c>
      <c r="F210" s="20" t="s">
        <v>2450</v>
      </c>
    </row>
    <row r="211" spans="1:6">
      <c r="A211" s="21">
        <v>44189.427708333336</v>
      </c>
      <c r="B211" s="20" t="s">
        <v>228</v>
      </c>
      <c r="C211" s="2">
        <v>5800006593</v>
      </c>
      <c r="D211" s="20">
        <v>23760</v>
      </c>
      <c r="E211" s="20">
        <v>720</v>
      </c>
      <c r="F211" s="20" t="s">
        <v>2450</v>
      </c>
    </row>
    <row r="212" spans="1:6">
      <c r="A212" s="21">
        <v>44189.431238425925</v>
      </c>
      <c r="B212" s="20" t="s">
        <v>196</v>
      </c>
      <c r="C212" s="2">
        <v>5800006643</v>
      </c>
      <c r="D212" s="20">
        <v>50000</v>
      </c>
      <c r="E212" s="20">
        <v>7000</v>
      </c>
      <c r="F212" s="20" t="s">
        <v>2450</v>
      </c>
    </row>
    <row r="213" spans="1:6">
      <c r="A213" s="21">
        <v>44189.433981481481</v>
      </c>
      <c r="B213" s="20" t="s">
        <v>105</v>
      </c>
      <c r="C213" s="2">
        <v>5800006200</v>
      </c>
      <c r="D213" s="20">
        <v>57600</v>
      </c>
      <c r="E213" s="20">
        <v>11520</v>
      </c>
      <c r="F213" s="20" t="s">
        <v>2450</v>
      </c>
    </row>
    <row r="214" spans="1:6">
      <c r="A214" s="21">
        <v>44190.49491898148</v>
      </c>
      <c r="B214" s="20" t="s">
        <v>212</v>
      </c>
      <c r="C214" s="2">
        <v>0</v>
      </c>
      <c r="D214" s="20">
        <v>18000</v>
      </c>
      <c r="E214" s="20">
        <v>900</v>
      </c>
      <c r="F214" s="20" t="s">
        <v>2451</v>
      </c>
    </row>
    <row r="215" spans="1:6">
      <c r="A215" s="21">
        <v>44190.497997685183</v>
      </c>
      <c r="B215" s="20" t="s">
        <v>2452</v>
      </c>
      <c r="C215" s="2">
        <v>0</v>
      </c>
      <c r="D215" s="20">
        <v>18000</v>
      </c>
      <c r="E215" s="20">
        <v>900</v>
      </c>
      <c r="F215" s="20" t="s">
        <v>2451</v>
      </c>
    </row>
    <row r="216" spans="1:6">
      <c r="A216" s="21">
        <v>44190.551354166666</v>
      </c>
      <c r="B216" s="20" t="s">
        <v>212</v>
      </c>
      <c r="C216" s="2">
        <v>0</v>
      </c>
      <c r="D216" s="20">
        <v>18000</v>
      </c>
      <c r="E216" s="20">
        <v>900</v>
      </c>
      <c r="F216" s="20" t="s">
        <v>2451</v>
      </c>
    </row>
    <row r="217" spans="1:6">
      <c r="A217" s="21">
        <v>44190.551585648151</v>
      </c>
      <c r="B217" s="20" t="s">
        <v>212</v>
      </c>
      <c r="C217" s="2">
        <v>0</v>
      </c>
      <c r="D217" s="20">
        <v>18000</v>
      </c>
      <c r="E217" s="20">
        <v>900</v>
      </c>
      <c r="F217" s="20" t="s">
        <v>2451</v>
      </c>
    </row>
    <row r="218" spans="1:6">
      <c r="A218" s="21">
        <v>44190.551759259259</v>
      </c>
      <c r="B218" s="20" t="s">
        <v>212</v>
      </c>
      <c r="C218" s="2">
        <v>0</v>
      </c>
      <c r="D218" s="20">
        <v>18000</v>
      </c>
      <c r="E218" s="20">
        <v>900</v>
      </c>
      <c r="F218" s="20" t="s">
        <v>2451</v>
      </c>
    </row>
    <row r="219" spans="1:6">
      <c r="A219" s="21">
        <v>44190.55505787037</v>
      </c>
      <c r="B219" s="20" t="s">
        <v>212</v>
      </c>
      <c r="C219" s="2">
        <v>6800005228</v>
      </c>
      <c r="D219" s="20">
        <v>18000</v>
      </c>
      <c r="E219" s="20">
        <v>900</v>
      </c>
      <c r="F219" s="20" t="s">
        <v>2451</v>
      </c>
    </row>
    <row r="220" spans="1:6">
      <c r="A220" s="21">
        <v>44190.598287037035</v>
      </c>
      <c r="B220" s="20" t="s">
        <v>208</v>
      </c>
      <c r="C220" s="2">
        <v>5800006616</v>
      </c>
      <c r="D220" s="20">
        <v>19440</v>
      </c>
      <c r="E220" s="20">
        <v>4860</v>
      </c>
      <c r="F220" s="20" t="s">
        <v>2451</v>
      </c>
    </row>
    <row r="221" spans="1:6">
      <c r="A221" s="21">
        <v>44190.599664351852</v>
      </c>
      <c r="B221" s="20" t="s">
        <v>443</v>
      </c>
      <c r="C221" s="2">
        <v>5800006923</v>
      </c>
      <c r="D221" s="20">
        <v>4500</v>
      </c>
      <c r="E221" s="20">
        <v>900</v>
      </c>
      <c r="F221" s="20" t="s">
        <v>2451</v>
      </c>
    </row>
    <row r="222" spans="1:6">
      <c r="A222" s="21">
        <v>44190.600405092591</v>
      </c>
      <c r="B222" s="20" t="s">
        <v>1612</v>
      </c>
      <c r="C222" s="2">
        <v>5800006990</v>
      </c>
      <c r="D222" s="20">
        <v>27216</v>
      </c>
      <c r="E222" s="20">
        <v>4536</v>
      </c>
      <c r="F222" s="20" t="s">
        <v>2451</v>
      </c>
    </row>
    <row r="223" spans="1:6">
      <c r="A223" s="21">
        <v>44190.602025462962</v>
      </c>
      <c r="B223" s="20" t="s">
        <v>232</v>
      </c>
      <c r="C223" s="2">
        <v>5800006272</v>
      </c>
      <c r="D223" s="20">
        <v>19440</v>
      </c>
      <c r="E223" s="20">
        <v>6480</v>
      </c>
      <c r="F223" s="20" t="s">
        <v>2451</v>
      </c>
    </row>
    <row r="224" spans="1:6">
      <c r="A224" s="21">
        <v>44190.612962962965</v>
      </c>
      <c r="B224" s="20" t="s">
        <v>206</v>
      </c>
      <c r="C224" s="2">
        <v>5800006265</v>
      </c>
      <c r="D224" s="20">
        <v>30912</v>
      </c>
      <c r="E224" s="20">
        <v>900</v>
      </c>
      <c r="F224" s="20" t="s">
        <v>2451</v>
      </c>
    </row>
    <row r="225" spans="1:6">
      <c r="A225" s="21">
        <v>44190.620682870373</v>
      </c>
      <c r="B225" s="20" t="s">
        <v>206</v>
      </c>
      <c r="C225" s="2">
        <v>5800006265</v>
      </c>
      <c r="D225" s="20">
        <v>30912</v>
      </c>
      <c r="E225" s="20">
        <v>20160</v>
      </c>
      <c r="F225" s="20" t="s">
        <v>2451</v>
      </c>
    </row>
    <row r="226" spans="1:6">
      <c r="A226" s="21">
        <v>44190.621412037035</v>
      </c>
      <c r="B226" s="20" t="s">
        <v>305</v>
      </c>
      <c r="C226" s="2">
        <v>5800006266</v>
      </c>
      <c r="D226" s="20">
        <v>24300</v>
      </c>
      <c r="E226" s="20">
        <v>4860</v>
      </c>
      <c r="F226" s="20" t="s">
        <v>2451</v>
      </c>
    </row>
    <row r="227" spans="1:6">
      <c r="A227" s="21">
        <v>44190.622083333335</v>
      </c>
      <c r="B227" s="20" t="s">
        <v>420</v>
      </c>
      <c r="C227" s="2">
        <v>5800006359</v>
      </c>
      <c r="D227" s="20">
        <v>5400</v>
      </c>
      <c r="E227" s="20">
        <v>900</v>
      </c>
      <c r="F227" s="20" t="s">
        <v>2451</v>
      </c>
    </row>
    <row r="228" spans="1:6">
      <c r="A228" s="21">
        <v>44190.623668981483</v>
      </c>
      <c r="B228" s="20" t="s">
        <v>1612</v>
      </c>
      <c r="C228" s="2">
        <v>5800006990</v>
      </c>
      <c r="D228" s="20">
        <v>6426</v>
      </c>
      <c r="E228" s="20">
        <v>4536</v>
      </c>
      <c r="F228" s="20" t="s">
        <v>2451</v>
      </c>
    </row>
    <row r="229" spans="1:6">
      <c r="A229" s="21">
        <v>44200.361168981479</v>
      </c>
      <c r="B229" s="20" t="s">
        <v>212</v>
      </c>
      <c r="C229" s="2">
        <v>0</v>
      </c>
      <c r="D229" s="20">
        <v>3600</v>
      </c>
      <c r="E229" s="20">
        <v>900</v>
      </c>
      <c r="F229" s="50">
        <v>44287</v>
      </c>
    </row>
    <row r="230" spans="1:6">
      <c r="A230" s="21">
        <v>44200.364155092589</v>
      </c>
      <c r="B230" s="20" t="s">
        <v>2452</v>
      </c>
      <c r="C230" s="2">
        <v>0</v>
      </c>
      <c r="D230" s="20">
        <v>4000</v>
      </c>
      <c r="E230" s="20">
        <v>1000</v>
      </c>
      <c r="F230" s="50">
        <v>44287</v>
      </c>
    </row>
    <row r="231" spans="1:6">
      <c r="A231" s="21">
        <v>44200.364953703705</v>
      </c>
      <c r="B231" s="20" t="s">
        <v>2452</v>
      </c>
      <c r="C231" s="2">
        <v>0</v>
      </c>
      <c r="D231" s="20">
        <v>5000</v>
      </c>
      <c r="E231" s="20">
        <v>1000</v>
      </c>
      <c r="F231" s="50">
        <v>44287</v>
      </c>
    </row>
    <row r="232" spans="1:6">
      <c r="A232" s="21">
        <v>44200.365613425929</v>
      </c>
      <c r="B232" s="20" t="s">
        <v>2452</v>
      </c>
      <c r="C232" s="2">
        <v>0</v>
      </c>
      <c r="D232" s="20">
        <v>5000</v>
      </c>
      <c r="E232" s="20">
        <v>1000</v>
      </c>
      <c r="F232" s="50">
        <v>44287</v>
      </c>
    </row>
    <row r="233" spans="1:6">
      <c r="A233" s="21">
        <v>44200.366122685184</v>
      </c>
      <c r="B233" s="20" t="s">
        <v>212</v>
      </c>
      <c r="C233" s="2">
        <v>0</v>
      </c>
      <c r="D233" s="20">
        <v>3600</v>
      </c>
      <c r="E233" s="20">
        <v>900</v>
      </c>
      <c r="F233" s="50">
        <v>44287</v>
      </c>
    </row>
    <row r="234" spans="1:6">
      <c r="A234" s="21">
        <v>44200.375868055555</v>
      </c>
      <c r="B234" s="20" t="s">
        <v>212</v>
      </c>
      <c r="C234" s="2">
        <v>0</v>
      </c>
      <c r="D234" s="20">
        <v>3600</v>
      </c>
      <c r="E234" s="20">
        <v>900</v>
      </c>
      <c r="F234" s="50">
        <v>44287</v>
      </c>
    </row>
    <row r="235" spans="1:6">
      <c r="A235" s="21">
        <v>44200.382465277777</v>
      </c>
      <c r="B235" s="20" t="s">
        <v>212</v>
      </c>
      <c r="C235" s="2">
        <v>0</v>
      </c>
      <c r="D235" s="20">
        <v>900</v>
      </c>
      <c r="E235" s="20">
        <v>900</v>
      </c>
      <c r="F235" s="50">
        <v>44287</v>
      </c>
    </row>
    <row r="236" spans="1:6">
      <c r="A236" s="21">
        <v>44200.383784722224</v>
      </c>
      <c r="B236" s="20" t="s">
        <v>212</v>
      </c>
      <c r="C236" s="2">
        <v>0</v>
      </c>
      <c r="D236" s="20">
        <v>900</v>
      </c>
      <c r="E236" s="20">
        <v>900</v>
      </c>
      <c r="F236" s="50">
        <v>44287</v>
      </c>
    </row>
    <row r="237" spans="1:6">
      <c r="A237" s="21">
        <v>44200.385196759256</v>
      </c>
      <c r="B237" s="20" t="s">
        <v>212</v>
      </c>
      <c r="C237" s="2">
        <v>0</v>
      </c>
      <c r="D237" s="20">
        <v>3600</v>
      </c>
      <c r="E237" s="20">
        <v>900</v>
      </c>
      <c r="F237" s="50">
        <v>44287</v>
      </c>
    </row>
    <row r="238" spans="1:6">
      <c r="A238" s="21">
        <v>44200.389062499999</v>
      </c>
      <c r="B238" s="20" t="s">
        <v>2454</v>
      </c>
      <c r="C238" s="2">
        <v>0</v>
      </c>
      <c r="D238" s="20">
        <v>3600</v>
      </c>
      <c r="E238" s="20">
        <v>900</v>
      </c>
      <c r="F238" s="50">
        <v>44287</v>
      </c>
    </row>
    <row r="239" spans="1:6">
      <c r="A239" s="21">
        <v>44200.391875000001</v>
      </c>
      <c r="B239" s="20" t="s">
        <v>273</v>
      </c>
      <c r="C239" s="2">
        <v>0</v>
      </c>
      <c r="D239" s="20">
        <v>3600</v>
      </c>
      <c r="E239" s="20">
        <v>900</v>
      </c>
      <c r="F239" s="50">
        <v>44287</v>
      </c>
    </row>
    <row r="240" spans="1:6">
      <c r="A240" s="21">
        <v>44200.392256944448</v>
      </c>
      <c r="B240" s="20" t="s">
        <v>212</v>
      </c>
      <c r="C240" s="2">
        <v>0</v>
      </c>
      <c r="D240" s="20">
        <v>4500</v>
      </c>
      <c r="E240" s="20">
        <v>900</v>
      </c>
      <c r="F240" s="50">
        <v>44287</v>
      </c>
    </row>
    <row r="241" spans="1:6">
      <c r="A241" s="21">
        <v>44200.392453703702</v>
      </c>
      <c r="B241" s="20" t="s">
        <v>273</v>
      </c>
      <c r="C241" s="2">
        <v>0</v>
      </c>
      <c r="D241" s="20">
        <v>3600</v>
      </c>
      <c r="E241" s="20">
        <v>900</v>
      </c>
      <c r="F241" s="50">
        <v>44287</v>
      </c>
    </row>
    <row r="242" spans="1:6">
      <c r="A242" s="21">
        <v>44200.395613425928</v>
      </c>
      <c r="B242" s="20" t="s">
        <v>2452</v>
      </c>
      <c r="C242" s="2">
        <v>0</v>
      </c>
      <c r="D242" s="20">
        <v>900</v>
      </c>
      <c r="E242" s="20">
        <v>900</v>
      </c>
      <c r="F242" s="50">
        <v>44287</v>
      </c>
    </row>
    <row r="243" spans="1:6">
      <c r="A243" s="21">
        <v>44200.409166666665</v>
      </c>
      <c r="B243" s="20" t="s">
        <v>212</v>
      </c>
      <c r="C243" s="2">
        <v>0</v>
      </c>
      <c r="D243" s="20">
        <v>3600</v>
      </c>
      <c r="E243" s="20">
        <v>900</v>
      </c>
      <c r="F243" s="50">
        <v>44287</v>
      </c>
    </row>
    <row r="244" spans="1:6">
      <c r="A244" s="21">
        <v>44200.413275462961</v>
      </c>
      <c r="B244" s="20" t="s">
        <v>273</v>
      </c>
      <c r="C244" s="2">
        <v>0</v>
      </c>
      <c r="D244" s="20">
        <v>3600</v>
      </c>
      <c r="E244" s="20">
        <v>900</v>
      </c>
      <c r="F244" s="50">
        <v>44287</v>
      </c>
    </row>
    <row r="245" spans="1:6">
      <c r="A245" s="21">
        <v>44200.414097222223</v>
      </c>
      <c r="B245" s="20" t="s">
        <v>375</v>
      </c>
      <c r="C245" s="2">
        <v>0</v>
      </c>
      <c r="D245" s="20">
        <v>5500</v>
      </c>
      <c r="E245" s="20">
        <v>1000</v>
      </c>
      <c r="F245" s="50">
        <v>44287</v>
      </c>
    </row>
    <row r="246" spans="1:6">
      <c r="A246" s="21">
        <v>44200.414918981478</v>
      </c>
      <c r="B246" s="20" t="s">
        <v>584</v>
      </c>
      <c r="C246" s="2">
        <v>0</v>
      </c>
      <c r="D246" s="20">
        <v>6000</v>
      </c>
      <c r="E246" s="20">
        <v>500</v>
      </c>
      <c r="F246" s="50">
        <v>44287</v>
      </c>
    </row>
    <row r="247" spans="1:6">
      <c r="A247" s="21">
        <v>44200.416412037041</v>
      </c>
      <c r="B247" s="20" t="s">
        <v>584</v>
      </c>
      <c r="C247" s="2">
        <v>0</v>
      </c>
      <c r="D247" s="20">
        <v>6400</v>
      </c>
      <c r="E247" s="20">
        <v>500</v>
      </c>
      <c r="F247" s="50">
        <v>44287</v>
      </c>
    </row>
    <row r="248" spans="1:6">
      <c r="A248" s="21">
        <v>44200.416990740741</v>
      </c>
      <c r="B248" s="20" t="s">
        <v>584</v>
      </c>
      <c r="C248" s="2">
        <v>0</v>
      </c>
      <c r="D248" s="20">
        <v>6400</v>
      </c>
      <c r="E248" s="20">
        <v>500</v>
      </c>
      <c r="F248" s="50">
        <v>44287</v>
      </c>
    </row>
    <row r="249" spans="1:6">
      <c r="A249" s="21">
        <v>44200.419594907406</v>
      </c>
      <c r="B249" s="20" t="s">
        <v>212</v>
      </c>
      <c r="C249" s="2">
        <v>0</v>
      </c>
      <c r="D249" s="20">
        <v>36000</v>
      </c>
      <c r="E249" s="20">
        <v>900</v>
      </c>
      <c r="F249" s="50">
        <v>44287</v>
      </c>
    </row>
    <row r="250" spans="1:6">
      <c r="A250" s="21">
        <v>44200.422280092593</v>
      </c>
      <c r="B250" s="20" t="s">
        <v>584</v>
      </c>
      <c r="C250" s="2">
        <v>0</v>
      </c>
      <c r="D250" s="20">
        <v>7000</v>
      </c>
      <c r="E250" s="20">
        <v>500</v>
      </c>
      <c r="F250" s="50">
        <v>44287</v>
      </c>
    </row>
    <row r="251" spans="1:6">
      <c r="A251" s="21">
        <v>44200.424664351849</v>
      </c>
      <c r="B251" s="20" t="s">
        <v>584</v>
      </c>
      <c r="C251" s="2">
        <v>0</v>
      </c>
      <c r="D251" s="20">
        <v>7500</v>
      </c>
      <c r="E251" s="20">
        <v>500</v>
      </c>
      <c r="F251" s="50">
        <v>44287</v>
      </c>
    </row>
    <row r="252" spans="1:6">
      <c r="A252" s="21">
        <v>44200.426296296297</v>
      </c>
      <c r="B252" s="20" t="s">
        <v>584</v>
      </c>
      <c r="C252" s="2">
        <v>0</v>
      </c>
      <c r="D252" s="20">
        <v>7500</v>
      </c>
      <c r="E252" s="20">
        <v>500</v>
      </c>
      <c r="F252" s="50">
        <v>44287</v>
      </c>
    </row>
    <row r="253" spans="1:6">
      <c r="A253" s="21">
        <v>44200.426620370374</v>
      </c>
      <c r="B253" s="20" t="s">
        <v>584</v>
      </c>
      <c r="C253" s="2">
        <v>0</v>
      </c>
      <c r="D253" s="20">
        <v>7500</v>
      </c>
      <c r="E253" s="20">
        <v>500</v>
      </c>
      <c r="F253" s="50">
        <v>44287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59"/>
  <sheetViews>
    <sheetView topLeftCell="A277" workbookViewId="0">
      <selection activeCell="G159" sqref="G159"/>
    </sheetView>
  </sheetViews>
  <sheetFormatPr defaultRowHeight="15"/>
  <cols>
    <col min="1" max="1" width="17" bestFit="1" customWidth="1"/>
    <col min="2" max="2" width="16.85546875" bestFit="1" customWidth="1"/>
    <col min="3" max="3" width="47.42578125" bestFit="1" customWidth="1"/>
    <col min="4" max="4" width="10" bestFit="1" customWidth="1"/>
    <col min="5" max="5" width="43" bestFit="1" customWidth="1"/>
    <col min="6" max="6" width="11.42578125" bestFit="1" customWidth="1"/>
    <col min="7" max="7" width="17.42578125" bestFit="1" customWidth="1"/>
    <col min="8" max="8" width="17.85546875" bestFit="1" customWidth="1"/>
    <col min="9" max="9" width="16.5703125" bestFit="1" customWidth="1"/>
    <col min="10" max="10" width="11.140625" bestFit="1" customWidth="1"/>
    <col min="11" max="11" width="18.7109375" bestFit="1" customWidth="1"/>
    <col min="12" max="12" width="11.140625" bestFit="1" customWidth="1"/>
    <col min="13" max="13" width="22.85546875" bestFit="1" customWidth="1"/>
    <col min="14" max="14" width="11.140625" bestFit="1" customWidth="1"/>
    <col min="15" max="15" width="20.85546875" bestFit="1" customWidth="1"/>
    <col min="16" max="16" width="13" bestFit="1" customWidth="1"/>
    <col min="17" max="17" width="6.28515625" bestFit="1" customWidth="1"/>
  </cols>
  <sheetData>
    <row r="1" spans="1:17">
      <c r="A1" t="s">
        <v>2455</v>
      </c>
      <c r="B1" t="s">
        <v>516</v>
      </c>
      <c r="C1" t="s">
        <v>517</v>
      </c>
      <c r="D1" t="s">
        <v>2456</v>
      </c>
      <c r="E1" t="s">
        <v>2457</v>
      </c>
      <c r="F1" t="s">
        <v>2458</v>
      </c>
      <c r="G1" t="s">
        <v>2459</v>
      </c>
      <c r="H1" t="s">
        <v>2460</v>
      </c>
      <c r="I1" t="s">
        <v>2461</v>
      </c>
      <c r="J1" t="s">
        <v>2462</v>
      </c>
      <c r="K1" t="s">
        <v>2463</v>
      </c>
      <c r="L1" t="s">
        <v>2464</v>
      </c>
      <c r="M1" t="s">
        <v>2465</v>
      </c>
      <c r="N1" t="s">
        <v>2466</v>
      </c>
      <c r="O1" t="s">
        <v>2467</v>
      </c>
      <c r="P1" t="s">
        <v>2468</v>
      </c>
      <c r="Q1" t="s">
        <v>2469</v>
      </c>
    </row>
    <row r="2" spans="1:17">
      <c r="B2" t="s">
        <v>672</v>
      </c>
      <c r="C2" t="s">
        <v>673</v>
      </c>
      <c r="G2" t="s">
        <v>2470</v>
      </c>
      <c r="O2">
        <v>0</v>
      </c>
      <c r="Q2">
        <v>-3668</v>
      </c>
    </row>
    <row r="3" spans="1:17">
      <c r="B3" t="s">
        <v>674</v>
      </c>
      <c r="C3" t="s">
        <v>675</v>
      </c>
      <c r="G3" t="s">
        <v>2470</v>
      </c>
      <c r="O3">
        <v>0</v>
      </c>
    </row>
    <row r="4" spans="1:17">
      <c r="B4" t="s">
        <v>676</v>
      </c>
      <c r="C4" t="s">
        <v>677</v>
      </c>
      <c r="G4" t="s">
        <v>2470</v>
      </c>
      <c r="O4">
        <v>0</v>
      </c>
    </row>
    <row r="5" spans="1:17">
      <c r="B5" t="s">
        <v>654</v>
      </c>
      <c r="C5" t="s">
        <v>655</v>
      </c>
      <c r="G5" t="s">
        <v>2470</v>
      </c>
      <c r="O5">
        <v>0</v>
      </c>
    </row>
    <row r="6" spans="1:17">
      <c r="B6" t="s">
        <v>678</v>
      </c>
      <c r="C6" t="s">
        <v>679</v>
      </c>
      <c r="G6" t="s">
        <v>2470</v>
      </c>
      <c r="O6">
        <v>0</v>
      </c>
    </row>
    <row r="7" spans="1:17">
      <c r="B7" t="s">
        <v>680</v>
      </c>
      <c r="C7" t="s">
        <v>681</v>
      </c>
      <c r="G7" t="s">
        <v>2470</v>
      </c>
      <c r="O7">
        <v>0</v>
      </c>
    </row>
    <row r="8" spans="1:17">
      <c r="B8" t="s">
        <v>682</v>
      </c>
      <c r="C8" t="s">
        <v>683</v>
      </c>
      <c r="G8" t="s">
        <v>2470</v>
      </c>
      <c r="O8">
        <v>0</v>
      </c>
    </row>
    <row r="9" spans="1:17">
      <c r="B9" t="s">
        <v>684</v>
      </c>
      <c r="C9" t="s">
        <v>685</v>
      </c>
      <c r="G9" t="s">
        <v>2470</v>
      </c>
      <c r="O9">
        <v>0</v>
      </c>
    </row>
    <row r="10" spans="1:17">
      <c r="B10" t="s">
        <v>686</v>
      </c>
      <c r="C10" t="s">
        <v>687</v>
      </c>
      <c r="G10" t="s">
        <v>2470</v>
      </c>
      <c r="O10">
        <v>0</v>
      </c>
    </row>
    <row r="11" spans="1:17">
      <c r="B11" t="s">
        <v>688</v>
      </c>
      <c r="C11" t="s">
        <v>689</v>
      </c>
      <c r="G11" t="s">
        <v>2470</v>
      </c>
      <c r="O11">
        <v>0</v>
      </c>
    </row>
    <row r="12" spans="1:17">
      <c r="B12" t="s">
        <v>690</v>
      </c>
      <c r="C12" t="s">
        <v>691</v>
      </c>
      <c r="G12" t="s">
        <v>2470</v>
      </c>
      <c r="O12">
        <v>0</v>
      </c>
    </row>
    <row r="13" spans="1:17">
      <c r="B13" t="s">
        <v>692</v>
      </c>
      <c r="C13" t="s">
        <v>693</v>
      </c>
      <c r="G13" t="s">
        <v>2470</v>
      </c>
      <c r="O13">
        <v>0</v>
      </c>
    </row>
    <row r="14" spans="1:17">
      <c r="B14" t="s">
        <v>694</v>
      </c>
      <c r="C14" t="s">
        <v>695</v>
      </c>
      <c r="G14" t="s">
        <v>2470</v>
      </c>
      <c r="O14">
        <v>0</v>
      </c>
    </row>
    <row r="15" spans="1:17">
      <c r="B15" t="s">
        <v>696</v>
      </c>
      <c r="C15" t="s">
        <v>697</v>
      </c>
      <c r="G15" t="s">
        <v>2470</v>
      </c>
      <c r="O15">
        <v>0</v>
      </c>
    </row>
    <row r="16" spans="1:17">
      <c r="B16" t="s">
        <v>698</v>
      </c>
      <c r="C16" t="s">
        <v>699</v>
      </c>
      <c r="G16" t="s">
        <v>2470</v>
      </c>
      <c r="O16">
        <v>0</v>
      </c>
    </row>
    <row r="17" spans="2:15">
      <c r="B17" t="s">
        <v>700</v>
      </c>
      <c r="C17" t="s">
        <v>701</v>
      </c>
      <c r="G17" t="s">
        <v>2470</v>
      </c>
      <c r="O17">
        <v>0</v>
      </c>
    </row>
    <row r="18" spans="2:15">
      <c r="B18" t="s">
        <v>702</v>
      </c>
      <c r="C18" t="s">
        <v>703</v>
      </c>
      <c r="G18" t="s">
        <v>2470</v>
      </c>
      <c r="O18">
        <v>0</v>
      </c>
    </row>
    <row r="19" spans="2:15">
      <c r="B19" t="s">
        <v>704</v>
      </c>
      <c r="C19" t="s">
        <v>705</v>
      </c>
      <c r="G19" t="s">
        <v>2470</v>
      </c>
      <c r="O19">
        <v>0</v>
      </c>
    </row>
    <row r="20" spans="2:15">
      <c r="B20" t="s">
        <v>706</v>
      </c>
      <c r="C20" t="s">
        <v>707</v>
      </c>
      <c r="G20" t="s">
        <v>2470</v>
      </c>
      <c r="O20">
        <v>0</v>
      </c>
    </row>
    <row r="21" spans="2:15">
      <c r="B21" t="s">
        <v>708</v>
      </c>
      <c r="C21" t="s">
        <v>709</v>
      </c>
      <c r="G21" t="s">
        <v>2470</v>
      </c>
      <c r="O21">
        <v>0</v>
      </c>
    </row>
    <row r="22" spans="2:15">
      <c r="B22" t="s">
        <v>710</v>
      </c>
      <c r="C22" t="s">
        <v>711</v>
      </c>
      <c r="G22" t="s">
        <v>2470</v>
      </c>
      <c r="O22">
        <v>0</v>
      </c>
    </row>
    <row r="23" spans="2:15">
      <c r="B23" t="s">
        <v>712</v>
      </c>
      <c r="C23" t="s">
        <v>713</v>
      </c>
      <c r="G23" t="s">
        <v>2470</v>
      </c>
      <c r="O23">
        <v>0</v>
      </c>
    </row>
    <row r="24" spans="2:15">
      <c r="B24" t="s">
        <v>714</v>
      </c>
      <c r="C24" t="s">
        <v>715</v>
      </c>
      <c r="G24" t="s">
        <v>2470</v>
      </c>
      <c r="O24">
        <v>0</v>
      </c>
    </row>
    <row r="25" spans="2:15">
      <c r="B25" t="s">
        <v>716</v>
      </c>
      <c r="C25" t="s">
        <v>717</v>
      </c>
      <c r="G25" t="s">
        <v>2470</v>
      </c>
      <c r="O25">
        <v>0</v>
      </c>
    </row>
    <row r="26" spans="2:15">
      <c r="B26" t="s">
        <v>718</v>
      </c>
      <c r="C26" t="s">
        <v>719</v>
      </c>
      <c r="G26" t="s">
        <v>2470</v>
      </c>
      <c r="O26">
        <v>0</v>
      </c>
    </row>
    <row r="27" spans="2:15">
      <c r="B27" t="s">
        <v>720</v>
      </c>
      <c r="C27" t="s">
        <v>721</v>
      </c>
      <c r="G27" t="s">
        <v>2470</v>
      </c>
      <c r="O27">
        <v>0</v>
      </c>
    </row>
    <row r="28" spans="2:15">
      <c r="B28" t="s">
        <v>722</v>
      </c>
      <c r="C28" t="s">
        <v>723</v>
      </c>
      <c r="G28" t="s">
        <v>2470</v>
      </c>
      <c r="O28">
        <v>0</v>
      </c>
    </row>
    <row r="29" spans="2:15">
      <c r="B29" t="s">
        <v>724</v>
      </c>
      <c r="C29" t="s">
        <v>725</v>
      </c>
      <c r="G29" t="s">
        <v>2470</v>
      </c>
      <c r="O29">
        <v>0</v>
      </c>
    </row>
    <row r="30" spans="2:15">
      <c r="B30" t="s">
        <v>726</v>
      </c>
      <c r="C30" t="s">
        <v>727</v>
      </c>
      <c r="G30" t="s">
        <v>2470</v>
      </c>
      <c r="O30">
        <v>0</v>
      </c>
    </row>
    <row r="31" spans="2:15">
      <c r="B31" t="s">
        <v>728</v>
      </c>
      <c r="C31" t="s">
        <v>729</v>
      </c>
      <c r="G31" t="s">
        <v>2470</v>
      </c>
      <c r="O31">
        <v>0</v>
      </c>
    </row>
    <row r="32" spans="2:15">
      <c r="B32" t="s">
        <v>730</v>
      </c>
      <c r="C32" t="s">
        <v>731</v>
      </c>
      <c r="G32" t="s">
        <v>2470</v>
      </c>
      <c r="O32">
        <v>0</v>
      </c>
    </row>
    <row r="33" spans="2:15">
      <c r="B33" t="s">
        <v>732</v>
      </c>
      <c r="C33" t="s">
        <v>733</v>
      </c>
      <c r="G33" t="s">
        <v>2470</v>
      </c>
      <c r="O33">
        <v>0</v>
      </c>
    </row>
    <row r="34" spans="2:15">
      <c r="B34" t="s">
        <v>734</v>
      </c>
      <c r="C34" t="s">
        <v>735</v>
      </c>
      <c r="G34" t="s">
        <v>2470</v>
      </c>
      <c r="O34">
        <v>0</v>
      </c>
    </row>
    <row r="35" spans="2:15">
      <c r="B35" t="s">
        <v>736</v>
      </c>
      <c r="C35" t="s">
        <v>737</v>
      </c>
      <c r="G35" t="s">
        <v>2470</v>
      </c>
      <c r="O35">
        <v>0</v>
      </c>
    </row>
    <row r="36" spans="2:15">
      <c r="B36" t="s">
        <v>738</v>
      </c>
      <c r="C36" t="s">
        <v>739</v>
      </c>
      <c r="G36" t="s">
        <v>2470</v>
      </c>
      <c r="O36">
        <v>0</v>
      </c>
    </row>
    <row r="37" spans="2:15">
      <c r="B37" t="s">
        <v>740</v>
      </c>
      <c r="C37" t="s">
        <v>741</v>
      </c>
      <c r="G37" t="s">
        <v>2470</v>
      </c>
      <c r="O37">
        <v>0</v>
      </c>
    </row>
    <row r="38" spans="2:15">
      <c r="B38" t="s">
        <v>742</v>
      </c>
      <c r="C38" t="s">
        <v>743</v>
      </c>
      <c r="G38" t="s">
        <v>2470</v>
      </c>
      <c r="O38">
        <v>0</v>
      </c>
    </row>
    <row r="39" spans="2:15">
      <c r="B39" t="s">
        <v>518</v>
      </c>
      <c r="C39" t="s">
        <v>519</v>
      </c>
      <c r="G39" t="s">
        <v>2470</v>
      </c>
      <c r="O39">
        <v>0</v>
      </c>
    </row>
    <row r="40" spans="2:15">
      <c r="B40" t="s">
        <v>744</v>
      </c>
      <c r="C40" t="s">
        <v>745</v>
      </c>
      <c r="G40" t="s">
        <v>2470</v>
      </c>
      <c r="O40">
        <v>0</v>
      </c>
    </row>
    <row r="41" spans="2:15">
      <c r="B41" t="s">
        <v>746</v>
      </c>
      <c r="C41" t="s">
        <v>747</v>
      </c>
      <c r="G41" t="s">
        <v>2470</v>
      </c>
      <c r="O41">
        <v>0</v>
      </c>
    </row>
    <row r="42" spans="2:15">
      <c r="B42" t="s">
        <v>748</v>
      </c>
      <c r="C42" t="s">
        <v>749</v>
      </c>
      <c r="G42" t="s">
        <v>2470</v>
      </c>
      <c r="O42">
        <v>0</v>
      </c>
    </row>
    <row r="43" spans="2:15">
      <c r="B43" t="s">
        <v>750</v>
      </c>
      <c r="C43" t="s">
        <v>751</v>
      </c>
      <c r="G43" t="s">
        <v>2470</v>
      </c>
      <c r="O43">
        <v>0</v>
      </c>
    </row>
    <row r="44" spans="2:15">
      <c r="B44" t="s">
        <v>752</v>
      </c>
      <c r="C44" t="s">
        <v>753</v>
      </c>
      <c r="G44" t="s">
        <v>2470</v>
      </c>
      <c r="O44">
        <v>0</v>
      </c>
    </row>
    <row r="45" spans="2:15">
      <c r="B45" t="s">
        <v>656</v>
      </c>
      <c r="C45" t="s">
        <v>657</v>
      </c>
      <c r="G45" t="s">
        <v>2470</v>
      </c>
      <c r="O45">
        <v>0</v>
      </c>
    </row>
    <row r="46" spans="2:15">
      <c r="B46" t="s">
        <v>754</v>
      </c>
      <c r="C46" t="s">
        <v>755</v>
      </c>
      <c r="G46" t="s">
        <v>2470</v>
      </c>
      <c r="O46">
        <v>0</v>
      </c>
    </row>
    <row r="47" spans="2:15">
      <c r="B47" t="s">
        <v>756</v>
      </c>
      <c r="C47" t="s">
        <v>757</v>
      </c>
      <c r="G47" t="s">
        <v>2470</v>
      </c>
      <c r="O47">
        <v>0</v>
      </c>
    </row>
    <row r="48" spans="2:15">
      <c r="B48" t="s">
        <v>758</v>
      </c>
      <c r="C48" t="s">
        <v>759</v>
      </c>
      <c r="G48" t="s">
        <v>2470</v>
      </c>
      <c r="O48">
        <v>0</v>
      </c>
    </row>
    <row r="49" spans="2:15">
      <c r="B49" t="s">
        <v>760</v>
      </c>
      <c r="C49" t="s">
        <v>761</v>
      </c>
      <c r="G49" t="s">
        <v>2470</v>
      </c>
      <c r="O49">
        <v>0</v>
      </c>
    </row>
    <row r="50" spans="2:15">
      <c r="B50" t="s">
        <v>762</v>
      </c>
      <c r="C50" t="s">
        <v>763</v>
      </c>
      <c r="G50" t="s">
        <v>2470</v>
      </c>
      <c r="O50">
        <v>0</v>
      </c>
    </row>
    <row r="51" spans="2:15">
      <c r="B51" t="s">
        <v>764</v>
      </c>
      <c r="C51" t="s">
        <v>765</v>
      </c>
      <c r="G51" t="s">
        <v>2470</v>
      </c>
      <c r="O51">
        <v>0</v>
      </c>
    </row>
    <row r="52" spans="2:15">
      <c r="B52" t="s">
        <v>766</v>
      </c>
      <c r="C52" t="s">
        <v>767</v>
      </c>
      <c r="G52" t="s">
        <v>2470</v>
      </c>
      <c r="O52">
        <v>0</v>
      </c>
    </row>
    <row r="53" spans="2:15">
      <c r="B53" t="s">
        <v>768</v>
      </c>
      <c r="C53" t="s">
        <v>769</v>
      </c>
      <c r="G53" t="s">
        <v>2470</v>
      </c>
      <c r="O53">
        <v>0</v>
      </c>
    </row>
    <row r="54" spans="2:15">
      <c r="B54" t="s">
        <v>770</v>
      </c>
      <c r="C54" t="s">
        <v>771</v>
      </c>
      <c r="G54" t="s">
        <v>2470</v>
      </c>
      <c r="O54">
        <v>0</v>
      </c>
    </row>
    <row r="55" spans="2:15">
      <c r="B55" t="s">
        <v>772</v>
      </c>
      <c r="C55" t="s">
        <v>773</v>
      </c>
      <c r="G55" t="s">
        <v>2470</v>
      </c>
      <c r="O55">
        <v>0</v>
      </c>
    </row>
    <row r="56" spans="2:15">
      <c r="B56" t="s">
        <v>774</v>
      </c>
      <c r="C56" t="s">
        <v>775</v>
      </c>
      <c r="G56" t="s">
        <v>2470</v>
      </c>
      <c r="O56">
        <v>0</v>
      </c>
    </row>
    <row r="57" spans="2:15">
      <c r="B57" t="s">
        <v>776</v>
      </c>
      <c r="C57" t="s">
        <v>777</v>
      </c>
      <c r="D57" t="s">
        <v>2471</v>
      </c>
      <c r="G57" t="s">
        <v>2470</v>
      </c>
      <c r="O57">
        <v>0</v>
      </c>
    </row>
    <row r="58" spans="2:15">
      <c r="B58" t="s">
        <v>778</v>
      </c>
      <c r="C58" t="s">
        <v>779</v>
      </c>
      <c r="D58" t="s">
        <v>2471</v>
      </c>
      <c r="G58" t="s">
        <v>2470</v>
      </c>
      <c r="O58">
        <v>0</v>
      </c>
    </row>
    <row r="59" spans="2:15">
      <c r="B59" t="s">
        <v>780</v>
      </c>
      <c r="C59" t="s">
        <v>781</v>
      </c>
      <c r="D59" t="s">
        <v>2471</v>
      </c>
      <c r="G59" t="s">
        <v>2470</v>
      </c>
      <c r="O59">
        <v>0</v>
      </c>
    </row>
    <row r="60" spans="2:15">
      <c r="B60" t="s">
        <v>782</v>
      </c>
      <c r="C60" t="s">
        <v>783</v>
      </c>
      <c r="D60" t="s">
        <v>2471</v>
      </c>
      <c r="G60" t="s">
        <v>2470</v>
      </c>
      <c r="O60">
        <v>0</v>
      </c>
    </row>
    <row r="61" spans="2:15">
      <c r="B61" t="s">
        <v>784</v>
      </c>
      <c r="C61" t="s">
        <v>785</v>
      </c>
      <c r="D61" t="s">
        <v>2471</v>
      </c>
      <c r="G61" t="s">
        <v>2470</v>
      </c>
      <c r="O61">
        <v>0</v>
      </c>
    </row>
    <row r="62" spans="2:15">
      <c r="B62" t="s">
        <v>786</v>
      </c>
      <c r="C62" t="s">
        <v>787</v>
      </c>
      <c r="G62" t="s">
        <v>2470</v>
      </c>
      <c r="O62">
        <v>0</v>
      </c>
    </row>
    <row r="63" spans="2:15">
      <c r="B63" t="s">
        <v>788</v>
      </c>
      <c r="C63" t="s">
        <v>789</v>
      </c>
      <c r="G63" t="s">
        <v>2470</v>
      </c>
      <c r="O63">
        <v>0</v>
      </c>
    </row>
    <row r="64" spans="2:15">
      <c r="B64" t="s">
        <v>790</v>
      </c>
      <c r="C64" t="s">
        <v>791</v>
      </c>
      <c r="G64" t="s">
        <v>2470</v>
      </c>
      <c r="O64">
        <v>0</v>
      </c>
    </row>
    <row r="65" spans="2:15">
      <c r="B65" t="s">
        <v>792</v>
      </c>
      <c r="C65" t="s">
        <v>793</v>
      </c>
      <c r="G65" t="s">
        <v>2470</v>
      </c>
      <c r="O65">
        <v>0</v>
      </c>
    </row>
    <row r="66" spans="2:15">
      <c r="B66" t="s">
        <v>794</v>
      </c>
      <c r="C66" t="s">
        <v>795</v>
      </c>
      <c r="G66" t="s">
        <v>2470</v>
      </c>
      <c r="O66">
        <v>0</v>
      </c>
    </row>
    <row r="67" spans="2:15">
      <c r="B67" t="s">
        <v>796</v>
      </c>
      <c r="C67" t="s">
        <v>797</v>
      </c>
      <c r="G67" t="s">
        <v>2470</v>
      </c>
      <c r="O67">
        <v>0</v>
      </c>
    </row>
    <row r="68" spans="2:15">
      <c r="B68" t="s">
        <v>798</v>
      </c>
      <c r="C68" t="s">
        <v>799</v>
      </c>
      <c r="G68" t="s">
        <v>2470</v>
      </c>
      <c r="O68">
        <v>0</v>
      </c>
    </row>
    <row r="69" spans="2:15">
      <c r="B69" t="s">
        <v>800</v>
      </c>
      <c r="C69" t="s">
        <v>801</v>
      </c>
      <c r="G69" t="s">
        <v>2470</v>
      </c>
      <c r="O69">
        <v>0</v>
      </c>
    </row>
    <row r="70" spans="2:15">
      <c r="B70" t="s">
        <v>802</v>
      </c>
      <c r="C70" t="s">
        <v>803</v>
      </c>
      <c r="G70" t="s">
        <v>2470</v>
      </c>
      <c r="O70">
        <v>0</v>
      </c>
    </row>
    <row r="71" spans="2:15">
      <c r="B71" t="s">
        <v>804</v>
      </c>
      <c r="C71" t="s">
        <v>805</v>
      </c>
      <c r="G71" t="s">
        <v>2470</v>
      </c>
      <c r="O71">
        <v>0</v>
      </c>
    </row>
    <row r="72" spans="2:15">
      <c r="B72" t="s">
        <v>806</v>
      </c>
      <c r="C72" t="s">
        <v>807</v>
      </c>
      <c r="G72" t="s">
        <v>2470</v>
      </c>
      <c r="O72">
        <v>0</v>
      </c>
    </row>
    <row r="73" spans="2:15">
      <c r="B73" t="s">
        <v>808</v>
      </c>
      <c r="C73" t="s">
        <v>809</v>
      </c>
      <c r="G73" t="s">
        <v>2470</v>
      </c>
      <c r="O73">
        <v>0</v>
      </c>
    </row>
    <row r="74" spans="2:15">
      <c r="B74" t="s">
        <v>810</v>
      </c>
      <c r="C74" t="s">
        <v>811</v>
      </c>
      <c r="G74" t="s">
        <v>2470</v>
      </c>
      <c r="O74">
        <v>0</v>
      </c>
    </row>
    <row r="75" spans="2:15">
      <c r="B75" t="s">
        <v>812</v>
      </c>
      <c r="C75" t="s">
        <v>813</v>
      </c>
      <c r="G75" t="s">
        <v>2470</v>
      </c>
      <c r="O75">
        <v>0</v>
      </c>
    </row>
    <row r="76" spans="2:15">
      <c r="B76" t="s">
        <v>814</v>
      </c>
      <c r="C76" t="s">
        <v>815</v>
      </c>
      <c r="G76" t="s">
        <v>2470</v>
      </c>
      <c r="O76">
        <v>0</v>
      </c>
    </row>
    <row r="77" spans="2:15">
      <c r="B77" t="s">
        <v>816</v>
      </c>
      <c r="C77" t="s">
        <v>817</v>
      </c>
      <c r="G77" t="s">
        <v>2470</v>
      </c>
      <c r="O77">
        <v>0</v>
      </c>
    </row>
    <row r="78" spans="2:15">
      <c r="B78" t="s">
        <v>818</v>
      </c>
      <c r="C78" t="s">
        <v>819</v>
      </c>
      <c r="G78" t="s">
        <v>2470</v>
      </c>
      <c r="O78">
        <v>0</v>
      </c>
    </row>
    <row r="79" spans="2:15">
      <c r="B79" t="s">
        <v>652</v>
      </c>
      <c r="C79" t="s">
        <v>653</v>
      </c>
      <c r="G79" t="s">
        <v>2470</v>
      </c>
      <c r="O79">
        <v>0</v>
      </c>
    </row>
    <row r="80" spans="2:15">
      <c r="B80" t="s">
        <v>820</v>
      </c>
      <c r="C80" t="s">
        <v>821</v>
      </c>
      <c r="G80" t="s">
        <v>2470</v>
      </c>
      <c r="O80">
        <v>0</v>
      </c>
    </row>
    <row r="81" spans="2:15">
      <c r="B81" t="s">
        <v>822</v>
      </c>
      <c r="C81" t="s">
        <v>823</v>
      </c>
      <c r="G81" t="s">
        <v>2470</v>
      </c>
      <c r="O81">
        <v>0</v>
      </c>
    </row>
    <row r="82" spans="2:15">
      <c r="B82" t="s">
        <v>824</v>
      </c>
      <c r="C82" t="s">
        <v>825</v>
      </c>
      <c r="G82" t="s">
        <v>2470</v>
      </c>
      <c r="O82">
        <v>0</v>
      </c>
    </row>
    <row r="83" spans="2:15">
      <c r="B83" t="s">
        <v>826</v>
      </c>
      <c r="C83" t="s">
        <v>827</v>
      </c>
      <c r="G83" t="s">
        <v>2470</v>
      </c>
      <c r="O83">
        <v>0</v>
      </c>
    </row>
    <row r="84" spans="2:15">
      <c r="B84" t="s">
        <v>828</v>
      </c>
      <c r="C84" t="s">
        <v>829</v>
      </c>
      <c r="G84" t="s">
        <v>2470</v>
      </c>
      <c r="O84">
        <v>0</v>
      </c>
    </row>
    <row r="85" spans="2:15">
      <c r="B85" t="s">
        <v>830</v>
      </c>
      <c r="C85" t="s">
        <v>831</v>
      </c>
      <c r="G85" t="s">
        <v>2470</v>
      </c>
      <c r="O85">
        <v>0</v>
      </c>
    </row>
    <row r="86" spans="2:15">
      <c r="B86" t="s">
        <v>658</v>
      </c>
      <c r="C86" t="s">
        <v>659</v>
      </c>
      <c r="G86" t="s">
        <v>2470</v>
      </c>
      <c r="O86">
        <v>0</v>
      </c>
    </row>
    <row r="87" spans="2:15">
      <c r="B87" t="s">
        <v>832</v>
      </c>
      <c r="C87" t="s">
        <v>833</v>
      </c>
      <c r="G87" t="s">
        <v>2470</v>
      </c>
      <c r="O87">
        <v>0</v>
      </c>
    </row>
    <row r="88" spans="2:15">
      <c r="B88" t="s">
        <v>834</v>
      </c>
      <c r="C88" t="s">
        <v>835</v>
      </c>
      <c r="G88" t="s">
        <v>2470</v>
      </c>
      <c r="O88">
        <v>0</v>
      </c>
    </row>
    <row r="89" spans="2:15">
      <c r="B89" t="s">
        <v>660</v>
      </c>
      <c r="C89" t="s">
        <v>661</v>
      </c>
      <c r="G89" t="s">
        <v>2470</v>
      </c>
      <c r="O89">
        <v>0</v>
      </c>
    </row>
    <row r="90" spans="2:15">
      <c r="B90" t="s">
        <v>836</v>
      </c>
      <c r="C90" t="s">
        <v>837</v>
      </c>
      <c r="G90" t="s">
        <v>2470</v>
      </c>
      <c r="O90">
        <v>0</v>
      </c>
    </row>
    <row r="91" spans="2:15">
      <c r="B91" t="s">
        <v>838</v>
      </c>
      <c r="C91" t="s">
        <v>839</v>
      </c>
      <c r="G91" t="s">
        <v>2470</v>
      </c>
      <c r="O91">
        <v>0</v>
      </c>
    </row>
    <row r="92" spans="2:15">
      <c r="B92" t="s">
        <v>840</v>
      </c>
      <c r="C92" t="s">
        <v>841</v>
      </c>
      <c r="G92" t="s">
        <v>2470</v>
      </c>
      <c r="O92">
        <v>0</v>
      </c>
    </row>
    <row r="93" spans="2:15">
      <c r="B93" t="s">
        <v>842</v>
      </c>
      <c r="C93" t="s">
        <v>843</v>
      </c>
      <c r="G93" t="s">
        <v>2470</v>
      </c>
      <c r="O93">
        <v>0</v>
      </c>
    </row>
    <row r="94" spans="2:15">
      <c r="B94" t="s">
        <v>844</v>
      </c>
      <c r="C94" t="s">
        <v>845</v>
      </c>
      <c r="D94" t="s">
        <v>2471</v>
      </c>
      <c r="G94" t="s">
        <v>2470</v>
      </c>
      <c r="O94">
        <v>0</v>
      </c>
    </row>
    <row r="95" spans="2:15">
      <c r="B95" t="s">
        <v>846</v>
      </c>
      <c r="C95" t="s">
        <v>847</v>
      </c>
      <c r="G95" t="s">
        <v>2470</v>
      </c>
      <c r="O95">
        <v>0</v>
      </c>
    </row>
    <row r="96" spans="2:15">
      <c r="B96" t="s">
        <v>848</v>
      </c>
      <c r="C96" t="s">
        <v>849</v>
      </c>
      <c r="G96" t="s">
        <v>2470</v>
      </c>
      <c r="O96">
        <v>0</v>
      </c>
    </row>
    <row r="97" spans="2:15">
      <c r="B97" t="s">
        <v>850</v>
      </c>
      <c r="C97" t="s">
        <v>851</v>
      </c>
      <c r="G97" t="s">
        <v>2470</v>
      </c>
      <c r="O97">
        <v>0</v>
      </c>
    </row>
    <row r="98" spans="2:15">
      <c r="B98" t="s">
        <v>852</v>
      </c>
      <c r="C98" t="s">
        <v>853</v>
      </c>
      <c r="G98" t="s">
        <v>2470</v>
      </c>
      <c r="O98">
        <v>0</v>
      </c>
    </row>
    <row r="99" spans="2:15">
      <c r="B99" t="s">
        <v>854</v>
      </c>
      <c r="C99" t="s">
        <v>855</v>
      </c>
      <c r="G99" t="s">
        <v>2470</v>
      </c>
      <c r="O99">
        <v>0</v>
      </c>
    </row>
    <row r="100" spans="2:15">
      <c r="B100" t="s">
        <v>856</v>
      </c>
      <c r="C100" t="s">
        <v>857</v>
      </c>
      <c r="G100" t="s">
        <v>2470</v>
      </c>
      <c r="O100">
        <v>0</v>
      </c>
    </row>
    <row r="101" spans="2:15">
      <c r="B101" t="s">
        <v>858</v>
      </c>
      <c r="C101" t="s">
        <v>859</v>
      </c>
      <c r="G101" t="s">
        <v>2470</v>
      </c>
      <c r="O101">
        <v>0</v>
      </c>
    </row>
    <row r="102" spans="2:15">
      <c r="B102" t="s">
        <v>860</v>
      </c>
      <c r="C102" t="s">
        <v>861</v>
      </c>
      <c r="G102" t="s">
        <v>2470</v>
      </c>
      <c r="O102">
        <v>0</v>
      </c>
    </row>
    <row r="103" spans="2:15">
      <c r="B103" t="s">
        <v>862</v>
      </c>
      <c r="C103" t="s">
        <v>863</v>
      </c>
      <c r="G103" t="s">
        <v>2470</v>
      </c>
      <c r="O103">
        <v>0</v>
      </c>
    </row>
    <row r="104" spans="2:15">
      <c r="B104" t="s">
        <v>864</v>
      </c>
      <c r="C104" t="s">
        <v>865</v>
      </c>
      <c r="G104" t="s">
        <v>2470</v>
      </c>
      <c r="O104">
        <v>0</v>
      </c>
    </row>
    <row r="105" spans="2:15">
      <c r="B105" t="s">
        <v>866</v>
      </c>
      <c r="C105" t="s">
        <v>867</v>
      </c>
      <c r="G105" t="s">
        <v>2470</v>
      </c>
      <c r="O105">
        <v>0</v>
      </c>
    </row>
    <row r="106" spans="2:15">
      <c r="B106" t="s">
        <v>868</v>
      </c>
      <c r="C106" t="s">
        <v>869</v>
      </c>
      <c r="G106" t="s">
        <v>2470</v>
      </c>
      <c r="O106">
        <v>0</v>
      </c>
    </row>
    <row r="107" spans="2:15">
      <c r="B107" t="s">
        <v>870</v>
      </c>
      <c r="C107" t="s">
        <v>871</v>
      </c>
      <c r="G107" t="s">
        <v>2470</v>
      </c>
      <c r="O107">
        <v>0</v>
      </c>
    </row>
    <row r="108" spans="2:15">
      <c r="B108" t="s">
        <v>662</v>
      </c>
      <c r="C108" t="s">
        <v>663</v>
      </c>
      <c r="G108" t="s">
        <v>2470</v>
      </c>
      <c r="O108">
        <v>0</v>
      </c>
    </row>
    <row r="109" spans="2:15">
      <c r="B109" t="s">
        <v>664</v>
      </c>
      <c r="C109" t="s">
        <v>665</v>
      </c>
      <c r="G109" t="s">
        <v>2470</v>
      </c>
      <c r="O109">
        <v>0</v>
      </c>
    </row>
    <row r="110" spans="2:15">
      <c r="B110" t="s">
        <v>666</v>
      </c>
      <c r="C110" t="s">
        <v>667</v>
      </c>
      <c r="G110" t="s">
        <v>2470</v>
      </c>
      <c r="O110">
        <v>0</v>
      </c>
    </row>
    <row r="111" spans="2:15">
      <c r="B111" t="s">
        <v>872</v>
      </c>
      <c r="C111" t="s">
        <v>873</v>
      </c>
      <c r="G111" t="s">
        <v>2470</v>
      </c>
      <c r="O111">
        <v>0</v>
      </c>
    </row>
    <row r="112" spans="2:15">
      <c r="B112" t="s">
        <v>874</v>
      </c>
      <c r="C112" t="s">
        <v>875</v>
      </c>
      <c r="G112" t="s">
        <v>2470</v>
      </c>
      <c r="O112">
        <v>0</v>
      </c>
    </row>
    <row r="113" spans="2:15">
      <c r="B113" t="s">
        <v>876</v>
      </c>
      <c r="C113" t="s">
        <v>877</v>
      </c>
      <c r="G113" t="s">
        <v>2470</v>
      </c>
      <c r="O113">
        <v>0</v>
      </c>
    </row>
    <row r="114" spans="2:15">
      <c r="B114" t="s">
        <v>878</v>
      </c>
      <c r="C114" t="s">
        <v>879</v>
      </c>
      <c r="G114" t="s">
        <v>2470</v>
      </c>
      <c r="O114">
        <v>0</v>
      </c>
    </row>
    <row r="115" spans="2:15">
      <c r="B115" t="s">
        <v>880</v>
      </c>
      <c r="C115" t="s">
        <v>881</v>
      </c>
      <c r="G115" t="s">
        <v>2470</v>
      </c>
      <c r="O115">
        <v>0</v>
      </c>
    </row>
    <row r="116" spans="2:15">
      <c r="B116" t="s">
        <v>882</v>
      </c>
      <c r="C116" t="s">
        <v>883</v>
      </c>
      <c r="G116" t="s">
        <v>2470</v>
      </c>
      <c r="O116">
        <v>0</v>
      </c>
    </row>
    <row r="117" spans="2:15">
      <c r="B117" t="s">
        <v>668</v>
      </c>
      <c r="C117" t="s">
        <v>669</v>
      </c>
      <c r="G117" t="s">
        <v>2470</v>
      </c>
      <c r="O117">
        <v>0</v>
      </c>
    </row>
    <row r="118" spans="2:15">
      <c r="B118" t="s">
        <v>670</v>
      </c>
      <c r="C118" t="s">
        <v>671</v>
      </c>
      <c r="G118" t="s">
        <v>2470</v>
      </c>
      <c r="O118">
        <v>0</v>
      </c>
    </row>
    <row r="119" spans="2:15">
      <c r="B119" t="s">
        <v>884</v>
      </c>
      <c r="C119" t="s">
        <v>885</v>
      </c>
      <c r="G119" t="s">
        <v>2470</v>
      </c>
      <c r="O119">
        <v>0</v>
      </c>
    </row>
    <row r="120" spans="2:15">
      <c r="B120" t="s">
        <v>886</v>
      </c>
      <c r="C120" t="s">
        <v>887</v>
      </c>
      <c r="G120" t="s">
        <v>2470</v>
      </c>
      <c r="O120">
        <v>0</v>
      </c>
    </row>
    <row r="121" spans="2:15">
      <c r="B121" t="s">
        <v>888</v>
      </c>
      <c r="C121" t="s">
        <v>889</v>
      </c>
      <c r="G121" t="s">
        <v>2470</v>
      </c>
      <c r="O121">
        <v>0</v>
      </c>
    </row>
    <row r="122" spans="2:15">
      <c r="B122" t="s">
        <v>890</v>
      </c>
      <c r="C122" t="s">
        <v>891</v>
      </c>
      <c r="G122" t="s">
        <v>2470</v>
      </c>
      <c r="O122">
        <v>0</v>
      </c>
    </row>
    <row r="123" spans="2:15">
      <c r="B123" t="s">
        <v>892</v>
      </c>
      <c r="C123" t="s">
        <v>893</v>
      </c>
      <c r="G123" t="s">
        <v>2470</v>
      </c>
      <c r="O123">
        <v>0</v>
      </c>
    </row>
    <row r="124" spans="2:15">
      <c r="B124" t="s">
        <v>894</v>
      </c>
      <c r="C124" t="s">
        <v>895</v>
      </c>
      <c r="G124" t="s">
        <v>2470</v>
      </c>
      <c r="O124">
        <v>0</v>
      </c>
    </row>
    <row r="125" spans="2:15">
      <c r="B125" t="s">
        <v>896</v>
      </c>
      <c r="C125" t="s">
        <v>897</v>
      </c>
      <c r="G125" t="s">
        <v>2470</v>
      </c>
      <c r="O125">
        <v>0</v>
      </c>
    </row>
    <row r="126" spans="2:15">
      <c r="B126" t="s">
        <v>898</v>
      </c>
      <c r="C126" t="s">
        <v>899</v>
      </c>
      <c r="G126" t="s">
        <v>2470</v>
      </c>
      <c r="O126">
        <v>0</v>
      </c>
    </row>
    <row r="127" spans="2:15">
      <c r="B127" t="s">
        <v>900</v>
      </c>
      <c r="C127" t="s">
        <v>901</v>
      </c>
      <c r="G127" t="s">
        <v>2470</v>
      </c>
      <c r="O127">
        <v>0</v>
      </c>
    </row>
    <row r="128" spans="2:15">
      <c r="B128" t="s">
        <v>902</v>
      </c>
      <c r="C128" t="s">
        <v>903</v>
      </c>
      <c r="G128" t="s">
        <v>2470</v>
      </c>
      <c r="O128">
        <v>0</v>
      </c>
    </row>
    <row r="129" spans="2:15">
      <c r="B129" t="s">
        <v>904</v>
      </c>
      <c r="C129" t="s">
        <v>905</v>
      </c>
      <c r="G129" t="s">
        <v>2470</v>
      </c>
      <c r="O129">
        <v>0</v>
      </c>
    </row>
    <row r="130" spans="2:15">
      <c r="B130" t="s">
        <v>906</v>
      </c>
      <c r="C130" t="s">
        <v>907</v>
      </c>
      <c r="G130" t="s">
        <v>2470</v>
      </c>
      <c r="O130">
        <v>0</v>
      </c>
    </row>
    <row r="131" spans="2:15">
      <c r="B131" t="s">
        <v>908</v>
      </c>
      <c r="C131" t="s">
        <v>909</v>
      </c>
      <c r="G131" t="s">
        <v>2470</v>
      </c>
      <c r="O131">
        <v>0</v>
      </c>
    </row>
    <row r="132" spans="2:15">
      <c r="B132" t="s">
        <v>910</v>
      </c>
      <c r="C132" t="s">
        <v>911</v>
      </c>
      <c r="G132" t="s">
        <v>2470</v>
      </c>
      <c r="O132">
        <v>0</v>
      </c>
    </row>
    <row r="133" spans="2:15">
      <c r="B133" t="s">
        <v>912</v>
      </c>
      <c r="C133" t="s">
        <v>913</v>
      </c>
      <c r="G133" t="s">
        <v>2470</v>
      </c>
      <c r="O133">
        <v>0</v>
      </c>
    </row>
    <row r="134" spans="2:15">
      <c r="B134" t="s">
        <v>914</v>
      </c>
      <c r="C134" t="s">
        <v>915</v>
      </c>
      <c r="G134" t="s">
        <v>2470</v>
      </c>
      <c r="O134">
        <v>0</v>
      </c>
    </row>
    <row r="135" spans="2:15">
      <c r="B135" t="s">
        <v>916</v>
      </c>
      <c r="C135" t="s">
        <v>917</v>
      </c>
      <c r="G135" t="s">
        <v>2470</v>
      </c>
      <c r="O135">
        <v>0</v>
      </c>
    </row>
    <row r="136" spans="2:15">
      <c r="B136" t="s">
        <v>918</v>
      </c>
      <c r="C136" t="s">
        <v>919</v>
      </c>
      <c r="G136" t="s">
        <v>2470</v>
      </c>
      <c r="O136">
        <v>0</v>
      </c>
    </row>
    <row r="137" spans="2:15">
      <c r="B137" t="s">
        <v>920</v>
      </c>
      <c r="C137" t="s">
        <v>921</v>
      </c>
      <c r="G137" t="s">
        <v>2470</v>
      </c>
      <c r="O137">
        <v>0</v>
      </c>
    </row>
    <row r="138" spans="2:15">
      <c r="B138" t="s">
        <v>922</v>
      </c>
      <c r="C138" t="s">
        <v>923</v>
      </c>
      <c r="D138" t="s">
        <v>2472</v>
      </c>
      <c r="F138" t="s">
        <v>2473</v>
      </c>
      <c r="G138" t="s">
        <v>2474</v>
      </c>
      <c r="H138" t="s">
        <v>2475</v>
      </c>
      <c r="I138" t="s">
        <v>2476</v>
      </c>
      <c r="O138">
        <v>1</v>
      </c>
    </row>
    <row r="139" spans="2:15">
      <c r="B139" t="s">
        <v>924</v>
      </c>
      <c r="C139" t="s">
        <v>925</v>
      </c>
      <c r="D139" t="s">
        <v>2472</v>
      </c>
      <c r="F139" t="s">
        <v>2473</v>
      </c>
      <c r="G139" t="s">
        <v>2474</v>
      </c>
      <c r="H139" t="s">
        <v>2475</v>
      </c>
      <c r="I139" t="s">
        <v>2476</v>
      </c>
      <c r="O139">
        <v>1</v>
      </c>
    </row>
    <row r="140" spans="2:15">
      <c r="B140" t="s">
        <v>926</v>
      </c>
      <c r="C140" t="s">
        <v>927</v>
      </c>
      <c r="D140" t="s">
        <v>2472</v>
      </c>
      <c r="F140" t="s">
        <v>2473</v>
      </c>
      <c r="G140" t="s">
        <v>2474</v>
      </c>
      <c r="H140" t="s">
        <v>2475</v>
      </c>
      <c r="I140" t="s">
        <v>2476</v>
      </c>
      <c r="O140">
        <v>1</v>
      </c>
    </row>
    <row r="141" spans="2:15">
      <c r="B141" t="s">
        <v>928</v>
      </c>
      <c r="C141" t="s">
        <v>929</v>
      </c>
      <c r="D141" t="s">
        <v>2472</v>
      </c>
      <c r="F141" t="s">
        <v>2473</v>
      </c>
      <c r="G141" t="s">
        <v>2474</v>
      </c>
      <c r="H141" t="s">
        <v>2475</v>
      </c>
      <c r="I141" t="s">
        <v>2476</v>
      </c>
      <c r="O141">
        <v>1</v>
      </c>
    </row>
    <row r="142" spans="2:15">
      <c r="B142" t="s">
        <v>930</v>
      </c>
      <c r="C142" t="s">
        <v>931</v>
      </c>
      <c r="G142" t="s">
        <v>2470</v>
      </c>
      <c r="O142">
        <v>0</v>
      </c>
    </row>
    <row r="143" spans="2:15">
      <c r="B143" t="s">
        <v>932</v>
      </c>
      <c r="C143" t="s">
        <v>933</v>
      </c>
      <c r="G143" t="s">
        <v>2470</v>
      </c>
      <c r="O143">
        <v>0</v>
      </c>
    </row>
    <row r="144" spans="2:15">
      <c r="B144" t="s">
        <v>934</v>
      </c>
      <c r="C144" t="s">
        <v>935</v>
      </c>
      <c r="G144" t="s">
        <v>2470</v>
      </c>
      <c r="O144">
        <v>0</v>
      </c>
    </row>
    <row r="145" spans="2:15">
      <c r="B145" t="s">
        <v>936</v>
      </c>
      <c r="C145" t="s">
        <v>937</v>
      </c>
      <c r="G145" t="s">
        <v>2470</v>
      </c>
      <c r="O145">
        <v>0</v>
      </c>
    </row>
    <row r="146" spans="2:15">
      <c r="B146" t="s">
        <v>938</v>
      </c>
      <c r="C146" t="s">
        <v>939</v>
      </c>
      <c r="G146" t="s">
        <v>2470</v>
      </c>
      <c r="O146">
        <v>0</v>
      </c>
    </row>
    <row r="147" spans="2:15">
      <c r="B147" t="s">
        <v>520</v>
      </c>
      <c r="C147" t="s">
        <v>521</v>
      </c>
      <c r="D147" t="s">
        <v>2472</v>
      </c>
      <c r="F147" t="s">
        <v>2473</v>
      </c>
      <c r="G147" t="s">
        <v>2474</v>
      </c>
      <c r="H147" t="s">
        <v>2475</v>
      </c>
      <c r="I147" t="s">
        <v>2476</v>
      </c>
      <c r="O147">
        <v>1</v>
      </c>
    </row>
    <row r="148" spans="2:15">
      <c r="B148" t="s">
        <v>940</v>
      </c>
      <c r="C148" t="s">
        <v>941</v>
      </c>
      <c r="G148" t="s">
        <v>2470</v>
      </c>
      <c r="O148">
        <v>0</v>
      </c>
    </row>
    <row r="149" spans="2:15">
      <c r="B149" t="s">
        <v>942</v>
      </c>
      <c r="C149" t="s">
        <v>943</v>
      </c>
      <c r="G149" t="s">
        <v>2470</v>
      </c>
      <c r="O149">
        <v>0</v>
      </c>
    </row>
    <row r="150" spans="2:15">
      <c r="B150" t="s">
        <v>944</v>
      </c>
      <c r="C150" t="s">
        <v>945</v>
      </c>
      <c r="G150" t="s">
        <v>2470</v>
      </c>
      <c r="O150">
        <v>0</v>
      </c>
    </row>
    <row r="151" spans="2:15">
      <c r="B151" t="s">
        <v>946</v>
      </c>
      <c r="C151" t="s">
        <v>947</v>
      </c>
      <c r="D151" t="s">
        <v>2472</v>
      </c>
      <c r="F151" t="s">
        <v>2473</v>
      </c>
      <c r="G151" t="s">
        <v>2474</v>
      </c>
      <c r="O151">
        <v>0</v>
      </c>
    </row>
    <row r="152" spans="2:15">
      <c r="B152" t="s">
        <v>948</v>
      </c>
      <c r="C152" t="s">
        <v>949</v>
      </c>
      <c r="D152" t="s">
        <v>2472</v>
      </c>
      <c r="F152" t="s">
        <v>2473</v>
      </c>
      <c r="G152" t="s">
        <v>2474</v>
      </c>
      <c r="H152" t="s">
        <v>2475</v>
      </c>
      <c r="I152" t="s">
        <v>2476</v>
      </c>
      <c r="O152">
        <v>1</v>
      </c>
    </row>
    <row r="153" spans="2:15">
      <c r="B153" t="s">
        <v>950</v>
      </c>
      <c r="C153" t="s">
        <v>949</v>
      </c>
      <c r="D153" t="s">
        <v>2472</v>
      </c>
      <c r="F153" t="s">
        <v>2473</v>
      </c>
      <c r="G153" t="s">
        <v>2474</v>
      </c>
      <c r="H153" t="s">
        <v>2475</v>
      </c>
      <c r="I153" t="s">
        <v>2476</v>
      </c>
      <c r="O153">
        <v>1</v>
      </c>
    </row>
    <row r="154" spans="2:15">
      <c r="B154" t="s">
        <v>951</v>
      </c>
      <c r="C154" t="s">
        <v>952</v>
      </c>
      <c r="D154" t="s">
        <v>2472</v>
      </c>
      <c r="F154" t="s">
        <v>2473</v>
      </c>
      <c r="G154" t="s">
        <v>2474</v>
      </c>
      <c r="H154" t="s">
        <v>2475</v>
      </c>
      <c r="I154" t="s">
        <v>2476</v>
      </c>
      <c r="O154">
        <v>1</v>
      </c>
    </row>
    <row r="155" spans="2:15">
      <c r="B155" t="s">
        <v>953</v>
      </c>
      <c r="C155" t="s">
        <v>954</v>
      </c>
      <c r="D155" t="s">
        <v>2472</v>
      </c>
      <c r="F155" t="s">
        <v>2473</v>
      </c>
      <c r="G155" t="s">
        <v>2474</v>
      </c>
      <c r="H155" t="s">
        <v>2475</v>
      </c>
      <c r="I155" t="s">
        <v>2476</v>
      </c>
      <c r="O155">
        <v>1</v>
      </c>
    </row>
    <row r="156" spans="2:15">
      <c r="B156" t="s">
        <v>955</v>
      </c>
      <c r="C156" t="s">
        <v>956</v>
      </c>
      <c r="D156" t="s">
        <v>2472</v>
      </c>
      <c r="F156" t="s">
        <v>2473</v>
      </c>
      <c r="G156" t="s">
        <v>2474</v>
      </c>
      <c r="H156" t="s">
        <v>2475</v>
      </c>
      <c r="I156" t="s">
        <v>2476</v>
      </c>
      <c r="O156">
        <v>1</v>
      </c>
    </row>
    <row r="157" spans="2:15">
      <c r="B157" t="s">
        <v>957</v>
      </c>
      <c r="C157" t="s">
        <v>958</v>
      </c>
      <c r="D157" t="s">
        <v>2472</v>
      </c>
      <c r="F157" t="s">
        <v>2473</v>
      </c>
      <c r="G157" t="s">
        <v>2474</v>
      </c>
      <c r="H157" t="s">
        <v>2475</v>
      </c>
      <c r="I157" t="s">
        <v>2476</v>
      </c>
      <c r="O157">
        <v>1</v>
      </c>
    </row>
    <row r="158" spans="2:15">
      <c r="B158" t="s">
        <v>959</v>
      </c>
      <c r="C158" t="s">
        <v>960</v>
      </c>
      <c r="D158" t="s">
        <v>2472</v>
      </c>
      <c r="F158" t="s">
        <v>2473</v>
      </c>
      <c r="G158" t="s">
        <v>2474</v>
      </c>
      <c r="H158" t="s">
        <v>2475</v>
      </c>
      <c r="I158" t="s">
        <v>2476</v>
      </c>
      <c r="O158">
        <v>1</v>
      </c>
    </row>
    <row r="159" spans="2:15">
      <c r="B159" t="s">
        <v>961</v>
      </c>
      <c r="C159" t="s">
        <v>962</v>
      </c>
      <c r="D159" t="s">
        <v>2472</v>
      </c>
      <c r="F159" t="s">
        <v>2473</v>
      </c>
      <c r="G159" t="s">
        <v>2474</v>
      </c>
      <c r="H159" t="s">
        <v>2475</v>
      </c>
      <c r="I159" t="s">
        <v>2476</v>
      </c>
      <c r="O159">
        <v>1</v>
      </c>
    </row>
    <row r="160" spans="2:15">
      <c r="B160" t="s">
        <v>963</v>
      </c>
      <c r="C160" t="s">
        <v>964</v>
      </c>
      <c r="G160" t="s">
        <v>2470</v>
      </c>
      <c r="O160">
        <v>0</v>
      </c>
    </row>
    <row r="161" spans="2:15">
      <c r="B161" t="s">
        <v>965</v>
      </c>
      <c r="C161" t="s">
        <v>966</v>
      </c>
      <c r="G161" t="s">
        <v>2470</v>
      </c>
      <c r="O161">
        <v>0</v>
      </c>
    </row>
    <row r="162" spans="2:15">
      <c r="B162" t="s">
        <v>967</v>
      </c>
      <c r="C162" t="s">
        <v>968</v>
      </c>
      <c r="G162" t="s">
        <v>2470</v>
      </c>
      <c r="O162">
        <v>0</v>
      </c>
    </row>
    <row r="163" spans="2:15">
      <c r="B163" t="s">
        <v>969</v>
      </c>
      <c r="C163" t="s">
        <v>970</v>
      </c>
      <c r="G163" t="s">
        <v>2470</v>
      </c>
      <c r="O163">
        <v>0</v>
      </c>
    </row>
    <row r="164" spans="2:15">
      <c r="B164" t="s">
        <v>971</v>
      </c>
      <c r="C164" t="s">
        <v>972</v>
      </c>
      <c r="G164" t="s">
        <v>2470</v>
      </c>
      <c r="O164">
        <v>0</v>
      </c>
    </row>
    <row r="165" spans="2:15">
      <c r="B165" t="s">
        <v>973</v>
      </c>
      <c r="C165" t="s">
        <v>974</v>
      </c>
      <c r="G165" t="s">
        <v>2470</v>
      </c>
      <c r="O165">
        <v>0</v>
      </c>
    </row>
    <row r="166" spans="2:15">
      <c r="B166" t="s">
        <v>975</v>
      </c>
      <c r="C166" t="s">
        <v>976</v>
      </c>
      <c r="G166" t="s">
        <v>2470</v>
      </c>
      <c r="O166">
        <v>0</v>
      </c>
    </row>
    <row r="167" spans="2:15">
      <c r="B167" t="s">
        <v>977</v>
      </c>
      <c r="C167" t="s">
        <v>978</v>
      </c>
      <c r="G167" t="s">
        <v>2470</v>
      </c>
      <c r="O167">
        <v>0</v>
      </c>
    </row>
    <row r="168" spans="2:15">
      <c r="B168" t="s">
        <v>979</v>
      </c>
      <c r="C168" t="s">
        <v>980</v>
      </c>
      <c r="G168" t="s">
        <v>2470</v>
      </c>
      <c r="O168">
        <v>0</v>
      </c>
    </row>
    <row r="169" spans="2:15">
      <c r="B169" t="s">
        <v>981</v>
      </c>
      <c r="C169" t="s">
        <v>982</v>
      </c>
      <c r="G169" t="s">
        <v>2470</v>
      </c>
      <c r="O169">
        <v>0</v>
      </c>
    </row>
    <row r="170" spans="2:15">
      <c r="B170" t="s">
        <v>983</v>
      </c>
      <c r="C170" t="s">
        <v>984</v>
      </c>
      <c r="G170" t="s">
        <v>2470</v>
      </c>
      <c r="J170" t="s">
        <v>2477</v>
      </c>
      <c r="L170" t="s">
        <v>2477</v>
      </c>
      <c r="N170" t="s">
        <v>2477</v>
      </c>
      <c r="O170">
        <v>0</v>
      </c>
    </row>
    <row r="171" spans="2:15">
      <c r="B171" t="s">
        <v>985</v>
      </c>
      <c r="C171" t="s">
        <v>986</v>
      </c>
      <c r="G171" t="s">
        <v>2470</v>
      </c>
      <c r="J171" t="s">
        <v>2477</v>
      </c>
      <c r="L171" t="s">
        <v>2477</v>
      </c>
      <c r="N171" t="s">
        <v>2477</v>
      </c>
      <c r="O171">
        <v>0</v>
      </c>
    </row>
    <row r="172" spans="2:15">
      <c r="B172" t="s">
        <v>987</v>
      </c>
      <c r="C172" t="s">
        <v>988</v>
      </c>
      <c r="G172" t="s">
        <v>2470</v>
      </c>
      <c r="O172">
        <v>0</v>
      </c>
    </row>
    <row r="173" spans="2:15">
      <c r="B173" t="s">
        <v>989</v>
      </c>
      <c r="C173" t="s">
        <v>990</v>
      </c>
      <c r="G173" t="s">
        <v>2470</v>
      </c>
      <c r="O173">
        <v>0</v>
      </c>
    </row>
    <row r="174" spans="2:15">
      <c r="B174" t="s">
        <v>991</v>
      </c>
      <c r="C174" t="s">
        <v>992</v>
      </c>
      <c r="G174" t="s">
        <v>2470</v>
      </c>
      <c r="O174">
        <v>0</v>
      </c>
    </row>
    <row r="175" spans="2:15">
      <c r="B175" t="s">
        <v>993</v>
      </c>
      <c r="C175" t="s">
        <v>994</v>
      </c>
      <c r="G175" t="s">
        <v>2470</v>
      </c>
      <c r="O175">
        <v>0</v>
      </c>
    </row>
    <row r="176" spans="2:15">
      <c r="B176" t="s">
        <v>995</v>
      </c>
      <c r="C176" t="s">
        <v>996</v>
      </c>
      <c r="G176" t="s">
        <v>2470</v>
      </c>
      <c r="O176">
        <v>0</v>
      </c>
    </row>
    <row r="177" spans="2:15">
      <c r="B177" t="s">
        <v>997</v>
      </c>
      <c r="C177" t="s">
        <v>998</v>
      </c>
      <c r="G177" t="s">
        <v>2470</v>
      </c>
      <c r="O177">
        <v>0</v>
      </c>
    </row>
    <row r="178" spans="2:15">
      <c r="B178" t="s">
        <v>999</v>
      </c>
      <c r="C178" t="s">
        <v>1000</v>
      </c>
      <c r="G178" t="s">
        <v>2470</v>
      </c>
      <c r="O178">
        <v>0</v>
      </c>
    </row>
    <row r="179" spans="2:15">
      <c r="B179" t="s">
        <v>1001</v>
      </c>
      <c r="C179" t="s">
        <v>1002</v>
      </c>
      <c r="G179" t="s">
        <v>2470</v>
      </c>
      <c r="O179">
        <v>0</v>
      </c>
    </row>
    <row r="180" spans="2:15">
      <c r="B180" t="s">
        <v>1003</v>
      </c>
      <c r="C180" t="s">
        <v>1004</v>
      </c>
      <c r="G180" t="s">
        <v>2470</v>
      </c>
      <c r="O180">
        <v>0</v>
      </c>
    </row>
    <row r="181" spans="2:15">
      <c r="B181" t="s">
        <v>1005</v>
      </c>
      <c r="C181" t="s">
        <v>1006</v>
      </c>
      <c r="G181" t="s">
        <v>2470</v>
      </c>
      <c r="O181">
        <v>0</v>
      </c>
    </row>
    <row r="182" spans="2:15">
      <c r="B182" t="s">
        <v>1007</v>
      </c>
      <c r="C182" t="s">
        <v>1008</v>
      </c>
      <c r="G182" t="s">
        <v>2470</v>
      </c>
      <c r="O182">
        <v>0</v>
      </c>
    </row>
    <row r="183" spans="2:15">
      <c r="B183" t="s">
        <v>1009</v>
      </c>
      <c r="C183" t="s">
        <v>1010</v>
      </c>
      <c r="G183" t="s">
        <v>2470</v>
      </c>
      <c r="O183">
        <v>0</v>
      </c>
    </row>
    <row r="184" spans="2:15">
      <c r="B184" t="s">
        <v>1011</v>
      </c>
      <c r="C184" t="s">
        <v>1012</v>
      </c>
      <c r="G184" t="s">
        <v>2470</v>
      </c>
      <c r="O184">
        <v>0</v>
      </c>
    </row>
    <row r="185" spans="2:15">
      <c r="B185" t="s">
        <v>1013</v>
      </c>
      <c r="C185" t="s">
        <v>1014</v>
      </c>
      <c r="G185" t="s">
        <v>2470</v>
      </c>
      <c r="J185" t="s">
        <v>2477</v>
      </c>
      <c r="L185" t="s">
        <v>2477</v>
      </c>
      <c r="N185" t="s">
        <v>2477</v>
      </c>
      <c r="O185">
        <v>0</v>
      </c>
    </row>
    <row r="186" spans="2:15">
      <c r="B186" t="s">
        <v>1015</v>
      </c>
      <c r="C186" t="s">
        <v>1016</v>
      </c>
      <c r="G186" t="s">
        <v>2470</v>
      </c>
      <c r="J186" t="s">
        <v>2477</v>
      </c>
      <c r="L186" t="s">
        <v>2477</v>
      </c>
      <c r="N186" t="s">
        <v>2477</v>
      </c>
      <c r="O186">
        <v>0</v>
      </c>
    </row>
    <row r="187" spans="2:15">
      <c r="B187" t="s">
        <v>1017</v>
      </c>
      <c r="C187" t="s">
        <v>1018</v>
      </c>
      <c r="G187" t="s">
        <v>2470</v>
      </c>
      <c r="H187" t="s">
        <v>2478</v>
      </c>
      <c r="J187" t="s">
        <v>2477</v>
      </c>
      <c r="L187" t="s">
        <v>2477</v>
      </c>
      <c r="N187" t="s">
        <v>2477</v>
      </c>
      <c r="O187">
        <v>0</v>
      </c>
    </row>
    <row r="188" spans="2:15">
      <c r="B188" t="s">
        <v>1019</v>
      </c>
      <c r="C188" t="s">
        <v>1020</v>
      </c>
      <c r="G188" t="s">
        <v>2470</v>
      </c>
      <c r="O188">
        <v>0</v>
      </c>
    </row>
    <row r="189" spans="2:15">
      <c r="B189" t="s">
        <v>1021</v>
      </c>
      <c r="C189" t="s">
        <v>1022</v>
      </c>
      <c r="G189" t="s">
        <v>2470</v>
      </c>
      <c r="O189">
        <v>0</v>
      </c>
    </row>
    <row r="190" spans="2:15">
      <c r="B190" t="s">
        <v>1023</v>
      </c>
      <c r="C190" t="s">
        <v>1024</v>
      </c>
      <c r="G190" t="s">
        <v>2470</v>
      </c>
    </row>
    <row r="191" spans="2:15">
      <c r="B191" t="s">
        <v>1025</v>
      </c>
      <c r="C191" t="s">
        <v>1026</v>
      </c>
      <c r="G191" t="s">
        <v>2470</v>
      </c>
    </row>
    <row r="192" spans="2:15">
      <c r="B192" t="s">
        <v>1027</v>
      </c>
      <c r="C192" t="s">
        <v>1028</v>
      </c>
      <c r="G192" t="s">
        <v>2470</v>
      </c>
    </row>
    <row r="193" spans="2:14">
      <c r="B193" t="s">
        <v>1029</v>
      </c>
      <c r="C193" t="s">
        <v>1030</v>
      </c>
      <c r="G193" t="s">
        <v>2470</v>
      </c>
    </row>
    <row r="194" spans="2:14">
      <c r="B194" t="s">
        <v>1031</v>
      </c>
      <c r="C194" t="s">
        <v>1032</v>
      </c>
      <c r="G194" t="s">
        <v>2470</v>
      </c>
    </row>
    <row r="195" spans="2:14">
      <c r="B195" t="s">
        <v>1033</v>
      </c>
      <c r="C195" t="s">
        <v>1034</v>
      </c>
      <c r="G195" t="s">
        <v>2470</v>
      </c>
    </row>
    <row r="196" spans="2:14">
      <c r="B196" t="s">
        <v>1035</v>
      </c>
      <c r="C196" t="s">
        <v>1036</v>
      </c>
      <c r="G196" t="s">
        <v>2470</v>
      </c>
    </row>
    <row r="197" spans="2:14">
      <c r="B197" t="s">
        <v>1037</v>
      </c>
      <c r="C197" t="s">
        <v>1038</v>
      </c>
      <c r="G197" t="s">
        <v>2470</v>
      </c>
    </row>
    <row r="198" spans="2:14">
      <c r="B198" t="s">
        <v>1039</v>
      </c>
      <c r="C198" t="s">
        <v>1040</v>
      </c>
      <c r="G198" t="s">
        <v>2470</v>
      </c>
    </row>
    <row r="199" spans="2:14">
      <c r="B199" t="s">
        <v>1041</v>
      </c>
      <c r="C199" t="s">
        <v>1042</v>
      </c>
      <c r="G199" t="s">
        <v>2470</v>
      </c>
    </row>
    <row r="200" spans="2:14">
      <c r="B200" t="s">
        <v>1043</v>
      </c>
      <c r="C200" t="s">
        <v>1044</v>
      </c>
      <c r="G200" t="s">
        <v>2470</v>
      </c>
    </row>
    <row r="201" spans="2:14">
      <c r="B201" t="s">
        <v>1045</v>
      </c>
      <c r="C201" t="s">
        <v>1046</v>
      </c>
      <c r="G201" t="s">
        <v>2470</v>
      </c>
    </row>
    <row r="202" spans="2:14">
      <c r="B202" t="s">
        <v>1047</v>
      </c>
      <c r="C202" t="s">
        <v>1048</v>
      </c>
      <c r="G202" t="s">
        <v>2470</v>
      </c>
    </row>
    <row r="203" spans="2:14">
      <c r="B203" t="s">
        <v>1049</v>
      </c>
      <c r="C203" t="s">
        <v>1050</v>
      </c>
      <c r="G203" t="s">
        <v>2470</v>
      </c>
    </row>
    <row r="204" spans="2:14">
      <c r="B204" t="s">
        <v>1051</v>
      </c>
      <c r="C204" t="s">
        <v>1052</v>
      </c>
      <c r="G204" t="s">
        <v>2470</v>
      </c>
    </row>
    <row r="205" spans="2:14">
      <c r="B205" t="s">
        <v>1053</v>
      </c>
      <c r="C205" t="s">
        <v>1054</v>
      </c>
      <c r="G205" t="s">
        <v>2470</v>
      </c>
    </row>
    <row r="206" spans="2:14">
      <c r="B206" t="s">
        <v>1055</v>
      </c>
      <c r="C206" t="s">
        <v>1056</v>
      </c>
      <c r="G206" t="s">
        <v>2470</v>
      </c>
    </row>
    <row r="207" spans="2:14">
      <c r="B207" t="s">
        <v>1057</v>
      </c>
      <c r="C207" t="s">
        <v>1058</v>
      </c>
      <c r="G207" t="s">
        <v>2470</v>
      </c>
      <c r="J207" t="s">
        <v>2477</v>
      </c>
      <c r="L207" t="s">
        <v>2477</v>
      </c>
      <c r="N207" t="s">
        <v>2477</v>
      </c>
    </row>
    <row r="208" spans="2:14">
      <c r="B208" t="s">
        <v>1059</v>
      </c>
      <c r="C208" t="s">
        <v>1060</v>
      </c>
      <c r="G208" t="s">
        <v>2470</v>
      </c>
      <c r="J208" t="s">
        <v>2477</v>
      </c>
      <c r="L208" t="s">
        <v>2477</v>
      </c>
      <c r="N208" t="s">
        <v>2477</v>
      </c>
    </row>
    <row r="209" spans="2:14">
      <c r="B209" t="s">
        <v>1061</v>
      </c>
      <c r="C209" t="s">
        <v>1062</v>
      </c>
      <c r="G209" t="s">
        <v>2470</v>
      </c>
      <c r="J209" t="s">
        <v>2477</v>
      </c>
      <c r="L209" t="s">
        <v>2477</v>
      </c>
      <c r="N209" t="s">
        <v>2477</v>
      </c>
    </row>
    <row r="210" spans="2:14">
      <c r="B210" t="s">
        <v>1063</v>
      </c>
      <c r="C210" t="s">
        <v>1064</v>
      </c>
      <c r="G210" t="s">
        <v>2470</v>
      </c>
      <c r="J210" t="s">
        <v>2477</v>
      </c>
      <c r="L210" t="s">
        <v>2477</v>
      </c>
      <c r="N210" t="s">
        <v>2477</v>
      </c>
    </row>
    <row r="211" spans="2:14">
      <c r="B211" t="s">
        <v>1065</v>
      </c>
      <c r="C211" t="s">
        <v>1066</v>
      </c>
      <c r="G211" t="s">
        <v>2470</v>
      </c>
      <c r="J211" t="s">
        <v>2477</v>
      </c>
      <c r="L211" t="s">
        <v>2477</v>
      </c>
      <c r="N211" t="s">
        <v>2477</v>
      </c>
    </row>
    <row r="212" spans="2:14">
      <c r="B212" t="s">
        <v>1067</v>
      </c>
      <c r="C212" t="s">
        <v>1068</v>
      </c>
      <c r="G212" t="s">
        <v>2470</v>
      </c>
      <c r="J212" t="s">
        <v>2477</v>
      </c>
      <c r="L212" t="s">
        <v>2477</v>
      </c>
      <c r="N212" t="s">
        <v>2477</v>
      </c>
    </row>
    <row r="213" spans="2:14">
      <c r="B213" t="s">
        <v>1069</v>
      </c>
      <c r="C213" t="s">
        <v>1070</v>
      </c>
      <c r="G213" t="s">
        <v>2470</v>
      </c>
      <c r="J213" t="s">
        <v>2477</v>
      </c>
      <c r="L213" t="s">
        <v>2477</v>
      </c>
      <c r="N213" t="s">
        <v>2477</v>
      </c>
    </row>
    <row r="214" spans="2:14">
      <c r="B214" t="s">
        <v>1071</v>
      </c>
      <c r="C214" t="s">
        <v>1072</v>
      </c>
      <c r="G214" t="s">
        <v>2470</v>
      </c>
      <c r="J214" t="s">
        <v>2477</v>
      </c>
      <c r="L214" t="s">
        <v>2477</v>
      </c>
      <c r="N214" t="s">
        <v>2477</v>
      </c>
    </row>
    <row r="215" spans="2:14">
      <c r="B215" t="s">
        <v>1073</v>
      </c>
      <c r="C215" t="s">
        <v>1074</v>
      </c>
      <c r="G215" t="s">
        <v>2470</v>
      </c>
      <c r="J215" t="s">
        <v>2477</v>
      </c>
      <c r="L215" t="s">
        <v>2477</v>
      </c>
      <c r="N215" t="s">
        <v>2477</v>
      </c>
    </row>
    <row r="216" spans="2:14">
      <c r="B216" t="s">
        <v>1075</v>
      </c>
      <c r="C216" t="s">
        <v>1076</v>
      </c>
      <c r="G216" t="s">
        <v>2470</v>
      </c>
    </row>
    <row r="217" spans="2:14">
      <c r="B217" t="s">
        <v>1077</v>
      </c>
      <c r="C217" t="s">
        <v>1078</v>
      </c>
      <c r="G217" t="s">
        <v>2470</v>
      </c>
    </row>
    <row r="218" spans="2:14">
      <c r="B218" t="s">
        <v>1079</v>
      </c>
      <c r="C218" t="s">
        <v>1080</v>
      </c>
      <c r="D218" t="s">
        <v>2472</v>
      </c>
      <c r="G218" t="s">
        <v>2470</v>
      </c>
    </row>
    <row r="219" spans="2:14">
      <c r="B219" t="s">
        <v>1081</v>
      </c>
      <c r="C219" t="s">
        <v>1082</v>
      </c>
      <c r="D219" t="s">
        <v>2472</v>
      </c>
      <c r="G219" t="s">
        <v>2470</v>
      </c>
    </row>
    <row r="220" spans="2:14">
      <c r="B220" t="s">
        <v>1083</v>
      </c>
      <c r="C220" t="s">
        <v>1084</v>
      </c>
      <c r="D220" t="s">
        <v>2472</v>
      </c>
      <c r="G220" t="s">
        <v>2470</v>
      </c>
    </row>
    <row r="221" spans="2:14">
      <c r="B221" t="s">
        <v>1085</v>
      </c>
      <c r="C221" t="s">
        <v>1086</v>
      </c>
      <c r="D221" t="s">
        <v>2472</v>
      </c>
      <c r="G221" t="s">
        <v>2470</v>
      </c>
    </row>
    <row r="222" spans="2:14">
      <c r="B222" t="s">
        <v>1087</v>
      </c>
      <c r="C222" t="s">
        <v>1088</v>
      </c>
      <c r="D222" t="s">
        <v>2472</v>
      </c>
      <c r="G222" t="s">
        <v>2470</v>
      </c>
    </row>
    <row r="223" spans="2:14">
      <c r="B223" t="s">
        <v>1089</v>
      </c>
      <c r="C223" t="s">
        <v>1090</v>
      </c>
      <c r="D223" t="s">
        <v>2472</v>
      </c>
      <c r="G223" t="s">
        <v>2470</v>
      </c>
    </row>
    <row r="224" spans="2:14">
      <c r="B224" t="s">
        <v>1091</v>
      </c>
      <c r="C224" t="s">
        <v>1092</v>
      </c>
      <c r="D224" t="s">
        <v>2472</v>
      </c>
      <c r="G224" t="s">
        <v>2470</v>
      </c>
    </row>
    <row r="225" spans="2:14">
      <c r="B225" t="s">
        <v>1093</v>
      </c>
      <c r="C225" t="s">
        <v>1094</v>
      </c>
      <c r="D225" t="s">
        <v>2472</v>
      </c>
      <c r="G225" t="s">
        <v>2470</v>
      </c>
    </row>
    <row r="226" spans="2:14">
      <c r="B226" t="s">
        <v>1095</v>
      </c>
      <c r="C226" t="s">
        <v>1096</v>
      </c>
      <c r="D226" t="s">
        <v>2472</v>
      </c>
      <c r="G226" t="s">
        <v>2470</v>
      </c>
    </row>
    <row r="227" spans="2:14">
      <c r="B227" t="s">
        <v>1097</v>
      </c>
      <c r="C227" t="s">
        <v>1098</v>
      </c>
      <c r="D227" t="s">
        <v>2472</v>
      </c>
      <c r="G227" t="s">
        <v>2470</v>
      </c>
    </row>
    <row r="228" spans="2:14">
      <c r="B228" t="s">
        <v>5</v>
      </c>
      <c r="C228" t="s">
        <v>6</v>
      </c>
      <c r="D228" t="s">
        <v>2472</v>
      </c>
      <c r="E228" t="s">
        <v>2479</v>
      </c>
      <c r="F228" t="s">
        <v>2480</v>
      </c>
      <c r="G228" t="s">
        <v>2470</v>
      </c>
      <c r="I228" t="s">
        <v>2481</v>
      </c>
      <c r="J228" t="s">
        <v>2482</v>
      </c>
      <c r="K228" t="s">
        <v>2483</v>
      </c>
      <c r="L228" t="s">
        <v>2477</v>
      </c>
      <c r="M228" t="s">
        <v>2483</v>
      </c>
      <c r="N228" t="s">
        <v>2477</v>
      </c>
    </row>
    <row r="229" spans="2:14">
      <c r="B229" t="s">
        <v>522</v>
      </c>
      <c r="C229" t="s">
        <v>523</v>
      </c>
      <c r="D229" t="s">
        <v>2472</v>
      </c>
      <c r="E229" t="s">
        <v>2484</v>
      </c>
      <c r="F229" t="s">
        <v>2473</v>
      </c>
      <c r="G229" t="s">
        <v>2474</v>
      </c>
      <c r="H229" t="s">
        <v>2475</v>
      </c>
      <c r="I229" t="s">
        <v>2476</v>
      </c>
      <c r="J229" t="s">
        <v>2482</v>
      </c>
      <c r="L229" t="s">
        <v>2485</v>
      </c>
    </row>
    <row r="230" spans="2:14">
      <c r="B230" t="s">
        <v>1099</v>
      </c>
      <c r="C230" t="s">
        <v>1100</v>
      </c>
      <c r="D230" t="s">
        <v>2472</v>
      </c>
      <c r="F230" t="s">
        <v>2473</v>
      </c>
      <c r="G230" t="s">
        <v>2474</v>
      </c>
      <c r="H230" t="s">
        <v>2475</v>
      </c>
      <c r="I230" t="s">
        <v>2476</v>
      </c>
      <c r="J230" t="s">
        <v>2482</v>
      </c>
    </row>
    <row r="231" spans="2:14">
      <c r="B231" t="s">
        <v>1101</v>
      </c>
      <c r="C231" t="s">
        <v>1102</v>
      </c>
      <c r="D231" t="s">
        <v>2472</v>
      </c>
    </row>
    <row r="232" spans="2:14">
      <c r="B232" t="s">
        <v>1103</v>
      </c>
      <c r="C232" t="s">
        <v>1104</v>
      </c>
      <c r="D232" t="s">
        <v>2472</v>
      </c>
    </row>
    <row r="233" spans="2:14">
      <c r="B233" t="s">
        <v>1105</v>
      </c>
      <c r="C233" t="s">
        <v>1106</v>
      </c>
      <c r="D233" t="s">
        <v>2472</v>
      </c>
    </row>
    <row r="234" spans="2:14">
      <c r="B234" t="s">
        <v>1107</v>
      </c>
      <c r="C234" t="s">
        <v>1108</v>
      </c>
      <c r="D234" t="s">
        <v>2472</v>
      </c>
    </row>
    <row r="235" spans="2:14">
      <c r="B235" t="s">
        <v>1109</v>
      </c>
      <c r="C235" t="s">
        <v>1110</v>
      </c>
      <c r="D235" t="s">
        <v>2472</v>
      </c>
    </row>
    <row r="236" spans="2:14">
      <c r="B236" t="s">
        <v>1111</v>
      </c>
      <c r="C236" t="s">
        <v>1112</v>
      </c>
      <c r="D236" t="s">
        <v>2472</v>
      </c>
    </row>
    <row r="237" spans="2:14">
      <c r="B237" t="s">
        <v>1113</v>
      </c>
      <c r="C237" t="s">
        <v>1114</v>
      </c>
      <c r="D237" t="s">
        <v>2472</v>
      </c>
    </row>
    <row r="238" spans="2:14">
      <c r="B238" t="s">
        <v>1115</v>
      </c>
      <c r="C238" t="s">
        <v>1116</v>
      </c>
      <c r="D238" t="s">
        <v>2472</v>
      </c>
    </row>
    <row r="239" spans="2:14">
      <c r="B239" t="s">
        <v>1117</v>
      </c>
      <c r="C239" t="s">
        <v>1118</v>
      </c>
      <c r="D239" t="s">
        <v>2472</v>
      </c>
    </row>
    <row r="240" spans="2:14">
      <c r="B240" t="s">
        <v>1119</v>
      </c>
      <c r="C240" t="s">
        <v>1120</v>
      </c>
      <c r="D240" t="s">
        <v>2472</v>
      </c>
    </row>
    <row r="241" spans="2:10">
      <c r="B241" t="s">
        <v>524</v>
      </c>
      <c r="C241" t="s">
        <v>525</v>
      </c>
      <c r="D241" t="s">
        <v>2472</v>
      </c>
      <c r="E241" t="s">
        <v>2484</v>
      </c>
      <c r="F241" t="s">
        <v>2473</v>
      </c>
      <c r="H241" t="s">
        <v>2475</v>
      </c>
      <c r="I241" t="s">
        <v>2476</v>
      </c>
      <c r="J241" t="s">
        <v>2482</v>
      </c>
    </row>
    <row r="242" spans="2:10">
      <c r="B242" t="s">
        <v>1121</v>
      </c>
      <c r="C242" t="s">
        <v>1122</v>
      </c>
      <c r="D242" t="s">
        <v>2472</v>
      </c>
    </row>
    <row r="243" spans="2:10">
      <c r="B243" t="s">
        <v>1123</v>
      </c>
      <c r="C243" t="s">
        <v>1124</v>
      </c>
      <c r="D243" t="s">
        <v>2472</v>
      </c>
    </row>
    <row r="244" spans="2:10">
      <c r="B244" t="s">
        <v>1125</v>
      </c>
      <c r="C244" t="s">
        <v>1126</v>
      </c>
      <c r="D244" t="s">
        <v>2472</v>
      </c>
      <c r="F244" t="s">
        <v>2473</v>
      </c>
    </row>
    <row r="245" spans="2:10">
      <c r="B245" t="s">
        <v>1127</v>
      </c>
      <c r="C245" t="s">
        <v>1128</v>
      </c>
      <c r="D245" t="s">
        <v>2472</v>
      </c>
      <c r="F245" t="s">
        <v>2473</v>
      </c>
    </row>
    <row r="246" spans="2:10">
      <c r="B246" t="s">
        <v>1129</v>
      </c>
      <c r="C246" t="s">
        <v>1128</v>
      </c>
      <c r="D246" t="s">
        <v>2472</v>
      </c>
      <c r="F246" t="s">
        <v>2473</v>
      </c>
    </row>
    <row r="247" spans="2:10">
      <c r="B247" t="s">
        <v>1130</v>
      </c>
      <c r="C247" t="s">
        <v>1131</v>
      </c>
      <c r="D247" t="s">
        <v>2472</v>
      </c>
    </row>
    <row r="248" spans="2:10">
      <c r="B248" t="s">
        <v>1132</v>
      </c>
      <c r="C248" t="s">
        <v>1133</v>
      </c>
      <c r="D248" t="s">
        <v>2472</v>
      </c>
    </row>
    <row r="249" spans="2:10">
      <c r="B249" t="s">
        <v>1134</v>
      </c>
      <c r="C249" t="s">
        <v>1135</v>
      </c>
      <c r="D249" t="s">
        <v>2472</v>
      </c>
    </row>
    <row r="250" spans="2:10">
      <c r="B250" t="s">
        <v>1136</v>
      </c>
      <c r="C250" t="s">
        <v>1137</v>
      </c>
      <c r="D250" t="s">
        <v>2472</v>
      </c>
    </row>
    <row r="251" spans="2:10">
      <c r="B251" t="s">
        <v>1138</v>
      </c>
      <c r="C251" t="s">
        <v>1139</v>
      </c>
      <c r="D251" t="s">
        <v>2472</v>
      </c>
    </row>
    <row r="252" spans="2:10">
      <c r="B252" t="s">
        <v>1140</v>
      </c>
      <c r="C252" t="s">
        <v>1141</v>
      </c>
      <c r="D252" t="s">
        <v>2472</v>
      </c>
    </row>
    <row r="253" spans="2:10">
      <c r="B253" t="s">
        <v>1142</v>
      </c>
      <c r="C253" t="s">
        <v>1141</v>
      </c>
      <c r="D253" t="s">
        <v>2472</v>
      </c>
    </row>
    <row r="254" spans="2:10">
      <c r="B254" t="s">
        <v>1143</v>
      </c>
      <c r="C254" t="s">
        <v>1144</v>
      </c>
      <c r="D254" t="s">
        <v>2472</v>
      </c>
    </row>
    <row r="255" spans="2:10">
      <c r="B255" t="s">
        <v>1145</v>
      </c>
      <c r="C255" t="s">
        <v>1146</v>
      </c>
      <c r="D255" t="s">
        <v>2472</v>
      </c>
    </row>
    <row r="256" spans="2:10">
      <c r="B256" t="s">
        <v>1147</v>
      </c>
      <c r="C256" t="s">
        <v>1148</v>
      </c>
      <c r="D256" t="s">
        <v>2472</v>
      </c>
    </row>
    <row r="257" spans="2:10">
      <c r="B257" t="s">
        <v>1149</v>
      </c>
      <c r="C257" t="s">
        <v>1150</v>
      </c>
      <c r="D257" t="s">
        <v>2472</v>
      </c>
      <c r="F257" t="s">
        <v>2473</v>
      </c>
      <c r="H257" t="s">
        <v>2475</v>
      </c>
      <c r="I257" t="s">
        <v>2476</v>
      </c>
    </row>
    <row r="258" spans="2:10">
      <c r="B258" t="s">
        <v>1151</v>
      </c>
      <c r="C258" t="s">
        <v>1152</v>
      </c>
      <c r="D258" t="s">
        <v>2472</v>
      </c>
      <c r="F258" t="s">
        <v>2473</v>
      </c>
      <c r="H258" t="s">
        <v>2475</v>
      </c>
      <c r="I258" t="s">
        <v>2476</v>
      </c>
    </row>
    <row r="259" spans="2:10">
      <c r="B259" t="s">
        <v>1153</v>
      </c>
      <c r="C259" t="s">
        <v>1154</v>
      </c>
      <c r="D259" t="s">
        <v>2472</v>
      </c>
      <c r="F259" t="s">
        <v>2473</v>
      </c>
      <c r="H259" t="s">
        <v>2475</v>
      </c>
      <c r="I259" t="s">
        <v>2476</v>
      </c>
    </row>
    <row r="260" spans="2:10">
      <c r="B260" t="s">
        <v>1155</v>
      </c>
      <c r="C260" t="s">
        <v>1156</v>
      </c>
      <c r="D260" t="s">
        <v>2486</v>
      </c>
    </row>
    <row r="261" spans="2:10">
      <c r="B261" t="s">
        <v>1157</v>
      </c>
      <c r="C261" t="s">
        <v>1158</v>
      </c>
      <c r="D261" t="s">
        <v>2486</v>
      </c>
    </row>
    <row r="262" spans="2:10">
      <c r="B262" t="s">
        <v>1159</v>
      </c>
      <c r="C262" t="s">
        <v>1160</v>
      </c>
      <c r="D262" t="s">
        <v>2472</v>
      </c>
    </row>
    <row r="263" spans="2:10">
      <c r="B263" t="s">
        <v>1161</v>
      </c>
      <c r="C263" t="s">
        <v>1162</v>
      </c>
      <c r="D263" t="s">
        <v>2472</v>
      </c>
    </row>
    <row r="264" spans="2:10">
      <c r="B264" t="s">
        <v>1163</v>
      </c>
      <c r="C264" t="s">
        <v>1164</v>
      </c>
      <c r="D264" t="s">
        <v>2472</v>
      </c>
    </row>
    <row r="265" spans="2:10">
      <c r="B265" t="s">
        <v>1165</v>
      </c>
      <c r="C265" t="s">
        <v>1166</v>
      </c>
      <c r="D265" t="s">
        <v>2487</v>
      </c>
    </row>
    <row r="266" spans="2:10">
      <c r="B266" t="s">
        <v>1167</v>
      </c>
      <c r="C266" t="s">
        <v>1168</v>
      </c>
      <c r="D266" t="s">
        <v>2487</v>
      </c>
    </row>
    <row r="267" spans="2:10">
      <c r="B267" t="s">
        <v>1169</v>
      </c>
      <c r="C267" t="s">
        <v>1170</v>
      </c>
      <c r="D267" t="s">
        <v>2472</v>
      </c>
    </row>
    <row r="268" spans="2:10">
      <c r="B268" t="s">
        <v>1171</v>
      </c>
      <c r="C268" t="s">
        <v>1172</v>
      </c>
      <c r="D268" t="s">
        <v>2472</v>
      </c>
    </row>
    <row r="269" spans="2:10">
      <c r="B269" t="s">
        <v>526</v>
      </c>
      <c r="C269" t="s">
        <v>527</v>
      </c>
      <c r="D269" t="s">
        <v>2472</v>
      </c>
      <c r="E269" t="s">
        <v>2484</v>
      </c>
      <c r="F269" t="s">
        <v>2473</v>
      </c>
      <c r="H269" t="s">
        <v>2475</v>
      </c>
      <c r="I269" t="s">
        <v>2476</v>
      </c>
      <c r="J269" t="s">
        <v>2482</v>
      </c>
    </row>
    <row r="270" spans="2:10">
      <c r="B270" t="s">
        <v>528</v>
      </c>
      <c r="C270" t="s">
        <v>529</v>
      </c>
      <c r="D270" t="s">
        <v>2472</v>
      </c>
      <c r="E270" t="s">
        <v>2484</v>
      </c>
      <c r="F270" t="s">
        <v>2473</v>
      </c>
      <c r="H270" t="s">
        <v>2475</v>
      </c>
      <c r="I270" t="s">
        <v>2476</v>
      </c>
      <c r="J270" t="s">
        <v>2482</v>
      </c>
    </row>
    <row r="271" spans="2:10">
      <c r="B271" t="s">
        <v>530</v>
      </c>
      <c r="C271" t="s">
        <v>531</v>
      </c>
      <c r="D271" t="s">
        <v>2472</v>
      </c>
      <c r="E271" t="s">
        <v>2484</v>
      </c>
      <c r="F271" t="s">
        <v>2473</v>
      </c>
      <c r="H271" t="s">
        <v>2475</v>
      </c>
      <c r="I271" t="s">
        <v>2476</v>
      </c>
      <c r="J271" t="s">
        <v>2482</v>
      </c>
    </row>
    <row r="272" spans="2:10">
      <c r="B272" t="s">
        <v>1173</v>
      </c>
      <c r="C272" t="s">
        <v>1174</v>
      </c>
      <c r="D272" t="s">
        <v>2472</v>
      </c>
      <c r="F272" t="s">
        <v>2473</v>
      </c>
    </row>
    <row r="273" spans="2:10">
      <c r="B273" t="s">
        <v>532</v>
      </c>
      <c r="C273" t="s">
        <v>533</v>
      </c>
      <c r="D273" t="s">
        <v>2472</v>
      </c>
      <c r="E273" t="s">
        <v>2484</v>
      </c>
      <c r="F273" t="s">
        <v>2473</v>
      </c>
      <c r="H273" t="s">
        <v>2475</v>
      </c>
      <c r="I273" t="s">
        <v>2476</v>
      </c>
      <c r="J273" t="s">
        <v>2482</v>
      </c>
    </row>
    <row r="274" spans="2:10">
      <c r="B274" t="s">
        <v>1175</v>
      </c>
      <c r="C274" t="s">
        <v>1176</v>
      </c>
      <c r="D274" t="s">
        <v>2472</v>
      </c>
      <c r="F274" t="s">
        <v>2473</v>
      </c>
    </row>
    <row r="275" spans="2:10">
      <c r="B275" t="s">
        <v>1177</v>
      </c>
      <c r="C275" t="s">
        <v>1178</v>
      </c>
      <c r="D275" t="s">
        <v>2472</v>
      </c>
      <c r="F275" t="s">
        <v>2473</v>
      </c>
    </row>
    <row r="276" spans="2:10">
      <c r="B276" t="s">
        <v>1179</v>
      </c>
      <c r="C276" t="s">
        <v>1180</v>
      </c>
      <c r="D276" t="s">
        <v>2472</v>
      </c>
      <c r="E276" t="s">
        <v>2488</v>
      </c>
      <c r="F276" t="s">
        <v>2473</v>
      </c>
    </row>
    <row r="277" spans="2:10">
      <c r="B277" t="s">
        <v>1181</v>
      </c>
      <c r="C277" t="s">
        <v>1182</v>
      </c>
      <c r="D277" t="s">
        <v>2472</v>
      </c>
    </row>
    <row r="278" spans="2:10">
      <c r="B278" t="s">
        <v>1183</v>
      </c>
      <c r="C278" t="s">
        <v>1184</v>
      </c>
      <c r="D278" t="s">
        <v>2472</v>
      </c>
      <c r="F278" t="s">
        <v>2473</v>
      </c>
      <c r="H278" t="s">
        <v>2475</v>
      </c>
      <c r="I278" t="s">
        <v>2476</v>
      </c>
      <c r="J278" t="s">
        <v>2482</v>
      </c>
    </row>
    <row r="279" spans="2:10">
      <c r="B279" t="s">
        <v>534</v>
      </c>
      <c r="C279" t="s">
        <v>535</v>
      </c>
      <c r="D279" t="s">
        <v>2472</v>
      </c>
      <c r="E279" t="s">
        <v>2484</v>
      </c>
      <c r="F279" t="s">
        <v>2473</v>
      </c>
      <c r="H279" t="s">
        <v>2475</v>
      </c>
      <c r="I279" t="s">
        <v>2476</v>
      </c>
      <c r="J279" t="s">
        <v>2482</v>
      </c>
    </row>
    <row r="280" spans="2:10">
      <c r="B280" t="s">
        <v>1185</v>
      </c>
      <c r="C280" t="s">
        <v>1186</v>
      </c>
      <c r="D280" t="s">
        <v>2472</v>
      </c>
      <c r="F280" t="s">
        <v>2473</v>
      </c>
    </row>
    <row r="281" spans="2:10">
      <c r="B281" t="s">
        <v>1187</v>
      </c>
      <c r="C281" t="s">
        <v>1188</v>
      </c>
      <c r="D281" t="s">
        <v>2472</v>
      </c>
      <c r="F281" t="s">
        <v>2473</v>
      </c>
    </row>
    <row r="282" spans="2:10">
      <c r="B282" t="s">
        <v>1189</v>
      </c>
      <c r="C282" t="s">
        <v>1190</v>
      </c>
      <c r="D282" t="s">
        <v>2472</v>
      </c>
      <c r="F282" t="s">
        <v>2473</v>
      </c>
    </row>
    <row r="283" spans="2:10">
      <c r="B283" t="s">
        <v>1191</v>
      </c>
      <c r="C283" t="s">
        <v>1192</v>
      </c>
      <c r="D283" t="s">
        <v>2472</v>
      </c>
      <c r="F283" t="s">
        <v>2473</v>
      </c>
    </row>
    <row r="284" spans="2:10">
      <c r="B284" t="s">
        <v>1193</v>
      </c>
      <c r="C284" t="s">
        <v>1194</v>
      </c>
      <c r="D284" t="s">
        <v>2472</v>
      </c>
    </row>
    <row r="285" spans="2:10">
      <c r="B285" t="s">
        <v>1195</v>
      </c>
      <c r="C285" t="s">
        <v>1196</v>
      </c>
      <c r="D285" t="s">
        <v>2472</v>
      </c>
    </row>
    <row r="286" spans="2:10">
      <c r="B286" t="s">
        <v>1197</v>
      </c>
      <c r="C286" t="s">
        <v>1198</v>
      </c>
      <c r="D286" t="s">
        <v>2472</v>
      </c>
    </row>
    <row r="287" spans="2:10">
      <c r="B287" t="s">
        <v>1199</v>
      </c>
      <c r="C287" t="s">
        <v>1200</v>
      </c>
      <c r="D287" t="s">
        <v>2472</v>
      </c>
      <c r="H287" t="s">
        <v>2489</v>
      </c>
    </row>
    <row r="288" spans="2:10">
      <c r="B288" t="s">
        <v>1201</v>
      </c>
      <c r="C288" t="s">
        <v>1202</v>
      </c>
      <c r="D288" t="s">
        <v>2472</v>
      </c>
      <c r="H288" t="s">
        <v>2489</v>
      </c>
    </row>
    <row r="289" spans="2:14">
      <c r="B289" t="s">
        <v>1203</v>
      </c>
      <c r="C289" t="s">
        <v>1204</v>
      </c>
      <c r="D289" t="s">
        <v>2472</v>
      </c>
    </row>
    <row r="290" spans="2:14">
      <c r="B290" t="s">
        <v>1205</v>
      </c>
      <c r="C290" t="s">
        <v>1206</v>
      </c>
      <c r="D290" t="s">
        <v>2472</v>
      </c>
    </row>
    <row r="291" spans="2:14">
      <c r="B291" t="s">
        <v>1207</v>
      </c>
      <c r="C291" t="s">
        <v>1208</v>
      </c>
      <c r="D291" t="s">
        <v>2472</v>
      </c>
    </row>
    <row r="292" spans="2:14">
      <c r="B292" t="s">
        <v>1209</v>
      </c>
      <c r="C292" t="s">
        <v>1210</v>
      </c>
      <c r="D292" t="s">
        <v>2472</v>
      </c>
    </row>
    <row r="293" spans="2:14">
      <c r="B293" t="s">
        <v>1211</v>
      </c>
      <c r="C293" t="s">
        <v>1212</v>
      </c>
      <c r="D293" t="s">
        <v>2472</v>
      </c>
    </row>
    <row r="294" spans="2:14">
      <c r="B294" t="s">
        <v>1213</v>
      </c>
      <c r="C294" t="s">
        <v>1214</v>
      </c>
      <c r="D294" t="s">
        <v>2472</v>
      </c>
    </row>
    <row r="295" spans="2:14">
      <c r="B295" t="s">
        <v>1215</v>
      </c>
      <c r="C295" t="s">
        <v>1216</v>
      </c>
      <c r="D295" t="s">
        <v>2472</v>
      </c>
    </row>
    <row r="296" spans="2:14">
      <c r="B296" t="s">
        <v>1217</v>
      </c>
      <c r="C296" t="s">
        <v>1218</v>
      </c>
      <c r="D296" t="s">
        <v>2472</v>
      </c>
    </row>
    <row r="297" spans="2:14">
      <c r="B297" t="s">
        <v>1219</v>
      </c>
      <c r="C297" t="s">
        <v>1220</v>
      </c>
      <c r="D297" t="s">
        <v>2472</v>
      </c>
    </row>
    <row r="298" spans="2:14">
      <c r="B298" t="s">
        <v>1221</v>
      </c>
      <c r="C298" t="s">
        <v>1222</v>
      </c>
      <c r="D298" t="s">
        <v>2472</v>
      </c>
    </row>
    <row r="299" spans="2:14">
      <c r="B299" t="s">
        <v>1223</v>
      </c>
      <c r="C299" t="s">
        <v>1224</v>
      </c>
      <c r="D299" t="s">
        <v>2472</v>
      </c>
    </row>
    <row r="300" spans="2:14">
      <c r="B300" t="s">
        <v>1225</v>
      </c>
      <c r="C300" t="s">
        <v>1226</v>
      </c>
      <c r="J300" t="s">
        <v>2477</v>
      </c>
      <c r="L300" t="s">
        <v>2477</v>
      </c>
      <c r="N300" t="s">
        <v>2477</v>
      </c>
    </row>
    <row r="301" spans="2:14">
      <c r="B301" t="s">
        <v>1227</v>
      </c>
      <c r="C301" t="s">
        <v>1228</v>
      </c>
      <c r="J301" t="s">
        <v>2477</v>
      </c>
      <c r="L301" t="s">
        <v>2477</v>
      </c>
      <c r="N301" t="s">
        <v>2477</v>
      </c>
    </row>
    <row r="302" spans="2:14">
      <c r="B302" t="s">
        <v>1229</v>
      </c>
      <c r="C302" t="s">
        <v>1230</v>
      </c>
      <c r="J302" t="s">
        <v>2477</v>
      </c>
      <c r="L302" t="s">
        <v>2477</v>
      </c>
      <c r="N302" t="s">
        <v>2477</v>
      </c>
    </row>
    <row r="303" spans="2:14">
      <c r="B303" t="s">
        <v>1231</v>
      </c>
      <c r="C303" t="s">
        <v>1232</v>
      </c>
      <c r="J303" t="s">
        <v>2477</v>
      </c>
      <c r="L303" t="s">
        <v>2477</v>
      </c>
      <c r="N303" t="s">
        <v>2477</v>
      </c>
    </row>
    <row r="304" spans="2:14">
      <c r="B304" t="s">
        <v>1233</v>
      </c>
      <c r="C304" t="s">
        <v>1234</v>
      </c>
    </row>
    <row r="305" spans="2:3">
      <c r="B305" t="s">
        <v>1235</v>
      </c>
      <c r="C305" t="s">
        <v>1236</v>
      </c>
    </row>
    <row r="306" spans="2:3">
      <c r="B306" t="s">
        <v>1237</v>
      </c>
      <c r="C306" t="s">
        <v>1238</v>
      </c>
    </row>
    <row r="307" spans="2:3">
      <c r="B307" t="s">
        <v>1239</v>
      </c>
      <c r="C307" t="s">
        <v>1240</v>
      </c>
    </row>
    <row r="308" spans="2:3">
      <c r="B308" t="s">
        <v>1241</v>
      </c>
      <c r="C308" t="s">
        <v>1242</v>
      </c>
    </row>
    <row r="309" spans="2:3">
      <c r="B309" t="s">
        <v>1243</v>
      </c>
      <c r="C309" t="s">
        <v>1244</v>
      </c>
    </row>
    <row r="310" spans="2:3">
      <c r="B310" t="s">
        <v>1245</v>
      </c>
      <c r="C310" t="s">
        <v>1246</v>
      </c>
    </row>
    <row r="311" spans="2:3">
      <c r="B311" t="s">
        <v>1247</v>
      </c>
      <c r="C311" t="s">
        <v>1248</v>
      </c>
    </row>
    <row r="312" spans="2:3">
      <c r="B312" t="s">
        <v>1249</v>
      </c>
      <c r="C312" t="s">
        <v>1250</v>
      </c>
    </row>
    <row r="313" spans="2:3">
      <c r="B313" t="s">
        <v>1251</v>
      </c>
      <c r="C313" t="s">
        <v>1252</v>
      </c>
    </row>
    <row r="314" spans="2:3">
      <c r="B314" t="s">
        <v>1253</v>
      </c>
      <c r="C314" t="s">
        <v>1254</v>
      </c>
    </row>
    <row r="315" spans="2:3">
      <c r="B315" t="s">
        <v>1255</v>
      </c>
      <c r="C315" t="s">
        <v>1256</v>
      </c>
    </row>
    <row r="316" spans="2:3">
      <c r="B316" t="s">
        <v>1257</v>
      </c>
      <c r="C316" t="s">
        <v>1258</v>
      </c>
    </row>
    <row r="317" spans="2:3">
      <c r="B317" t="s">
        <v>1259</v>
      </c>
      <c r="C317" t="s">
        <v>1260</v>
      </c>
    </row>
    <row r="318" spans="2:3">
      <c r="B318" t="s">
        <v>1261</v>
      </c>
      <c r="C318" t="s">
        <v>1262</v>
      </c>
    </row>
    <row r="319" spans="2:3">
      <c r="B319" t="s">
        <v>1263</v>
      </c>
      <c r="C319" t="s">
        <v>1264</v>
      </c>
    </row>
    <row r="320" spans="2:3">
      <c r="B320" t="s">
        <v>1265</v>
      </c>
      <c r="C320" t="s">
        <v>1266</v>
      </c>
    </row>
    <row r="321" spans="2:10">
      <c r="B321" t="s">
        <v>1267</v>
      </c>
      <c r="C321" t="s">
        <v>1268</v>
      </c>
    </row>
    <row r="322" spans="2:10">
      <c r="B322" t="s">
        <v>1269</v>
      </c>
      <c r="C322" t="s">
        <v>1270</v>
      </c>
    </row>
    <row r="323" spans="2:10">
      <c r="B323" t="s">
        <v>1271</v>
      </c>
      <c r="C323" t="s">
        <v>1272</v>
      </c>
    </row>
    <row r="324" spans="2:10">
      <c r="B324" t="s">
        <v>7</v>
      </c>
      <c r="C324" t="s">
        <v>8</v>
      </c>
    </row>
    <row r="325" spans="2:10">
      <c r="B325" t="s">
        <v>536</v>
      </c>
      <c r="C325" t="s">
        <v>537</v>
      </c>
      <c r="D325" t="s">
        <v>2472</v>
      </c>
      <c r="E325" t="s">
        <v>2490</v>
      </c>
      <c r="F325" t="s">
        <v>2473</v>
      </c>
      <c r="G325" t="s">
        <v>2474</v>
      </c>
      <c r="H325" t="s">
        <v>2475</v>
      </c>
      <c r="I325" t="s">
        <v>2476</v>
      </c>
      <c r="J325" t="s">
        <v>2482</v>
      </c>
    </row>
    <row r="326" spans="2:10">
      <c r="B326" t="s">
        <v>1273</v>
      </c>
      <c r="C326" t="s">
        <v>1274</v>
      </c>
      <c r="D326" t="s">
        <v>2472</v>
      </c>
      <c r="F326" t="s">
        <v>2473</v>
      </c>
      <c r="G326" t="s">
        <v>2474</v>
      </c>
      <c r="H326" t="s">
        <v>2475</v>
      </c>
      <c r="I326" t="s">
        <v>2476</v>
      </c>
      <c r="J326" t="s">
        <v>2482</v>
      </c>
    </row>
    <row r="327" spans="2:10">
      <c r="B327" t="s">
        <v>1275</v>
      </c>
      <c r="C327" t="s">
        <v>1276</v>
      </c>
      <c r="D327" t="s">
        <v>2472</v>
      </c>
      <c r="F327" t="s">
        <v>2473</v>
      </c>
      <c r="G327" t="s">
        <v>2474</v>
      </c>
      <c r="H327" t="s">
        <v>2475</v>
      </c>
      <c r="I327" t="s">
        <v>2476</v>
      </c>
      <c r="J327" t="s">
        <v>2482</v>
      </c>
    </row>
    <row r="328" spans="2:10">
      <c r="B328" t="s">
        <v>538</v>
      </c>
      <c r="C328" t="s">
        <v>539</v>
      </c>
      <c r="D328" t="s">
        <v>2472</v>
      </c>
      <c r="E328" t="s">
        <v>2491</v>
      </c>
      <c r="F328" t="s">
        <v>2473</v>
      </c>
      <c r="G328" t="s">
        <v>2474</v>
      </c>
      <c r="H328" t="s">
        <v>2475</v>
      </c>
      <c r="I328" t="s">
        <v>2476</v>
      </c>
      <c r="J328" t="s">
        <v>2482</v>
      </c>
    </row>
    <row r="329" spans="2:10">
      <c r="B329" t="s">
        <v>540</v>
      </c>
      <c r="C329" t="s">
        <v>541</v>
      </c>
      <c r="D329" t="s">
        <v>2472</v>
      </c>
      <c r="E329" t="s">
        <v>2484</v>
      </c>
      <c r="F329" t="s">
        <v>2473</v>
      </c>
      <c r="G329" t="s">
        <v>2474</v>
      </c>
      <c r="H329" t="s">
        <v>2475</v>
      </c>
      <c r="I329" t="s">
        <v>2476</v>
      </c>
      <c r="J329" t="s">
        <v>2482</v>
      </c>
    </row>
    <row r="330" spans="2:10">
      <c r="B330" t="s">
        <v>1277</v>
      </c>
      <c r="C330" t="s">
        <v>1278</v>
      </c>
      <c r="D330" t="s">
        <v>2472</v>
      </c>
      <c r="E330" t="s">
        <v>2492</v>
      </c>
      <c r="F330" t="s">
        <v>2473</v>
      </c>
      <c r="G330" t="s">
        <v>2474</v>
      </c>
      <c r="H330" t="s">
        <v>2475</v>
      </c>
      <c r="I330" t="s">
        <v>2476</v>
      </c>
      <c r="J330" t="s">
        <v>2482</v>
      </c>
    </row>
    <row r="331" spans="2:10">
      <c r="B331" t="s">
        <v>1279</v>
      </c>
      <c r="C331" t="s">
        <v>1280</v>
      </c>
      <c r="D331" t="s">
        <v>2472</v>
      </c>
      <c r="E331" t="s">
        <v>2493</v>
      </c>
      <c r="F331" t="s">
        <v>2473</v>
      </c>
      <c r="G331" t="s">
        <v>2474</v>
      </c>
      <c r="I331" t="s">
        <v>2476</v>
      </c>
      <c r="J331" t="s">
        <v>2482</v>
      </c>
    </row>
    <row r="332" spans="2:10">
      <c r="B332" t="s">
        <v>1281</v>
      </c>
      <c r="C332" t="s">
        <v>1282</v>
      </c>
      <c r="D332" t="s">
        <v>2472</v>
      </c>
      <c r="E332" t="s">
        <v>2494</v>
      </c>
      <c r="F332" t="s">
        <v>2473</v>
      </c>
      <c r="G332" t="s">
        <v>2474</v>
      </c>
      <c r="I332" t="s">
        <v>2476</v>
      </c>
      <c r="J332" t="s">
        <v>2482</v>
      </c>
    </row>
    <row r="333" spans="2:10">
      <c r="B333" t="s">
        <v>1283</v>
      </c>
      <c r="C333" t="s">
        <v>1284</v>
      </c>
      <c r="D333" t="s">
        <v>2472</v>
      </c>
      <c r="E333" t="s">
        <v>2495</v>
      </c>
      <c r="F333" t="s">
        <v>2473</v>
      </c>
      <c r="G333" t="s">
        <v>2474</v>
      </c>
      <c r="I333" t="s">
        <v>2476</v>
      </c>
      <c r="J333" t="s">
        <v>2482</v>
      </c>
    </row>
    <row r="334" spans="2:10">
      <c r="B334" t="s">
        <v>9</v>
      </c>
      <c r="C334" t="s">
        <v>10</v>
      </c>
      <c r="D334" t="s">
        <v>2472</v>
      </c>
      <c r="E334" t="s">
        <v>2483</v>
      </c>
      <c r="F334" t="s">
        <v>2473</v>
      </c>
      <c r="G334" t="s">
        <v>2474</v>
      </c>
      <c r="I334" t="s">
        <v>2476</v>
      </c>
      <c r="J334" t="s">
        <v>2482</v>
      </c>
    </row>
    <row r="335" spans="2:10">
      <c r="B335" t="s">
        <v>1285</v>
      </c>
      <c r="C335" t="s">
        <v>1286</v>
      </c>
      <c r="D335" t="s">
        <v>2472</v>
      </c>
      <c r="E335" t="s">
        <v>2496</v>
      </c>
      <c r="F335" t="s">
        <v>2473</v>
      </c>
      <c r="G335" t="s">
        <v>2474</v>
      </c>
      <c r="I335" t="s">
        <v>2476</v>
      </c>
      <c r="J335" t="s">
        <v>2482</v>
      </c>
    </row>
    <row r="336" spans="2:10">
      <c r="B336" t="s">
        <v>11</v>
      </c>
      <c r="C336" t="s">
        <v>12</v>
      </c>
      <c r="D336" t="s">
        <v>2472</v>
      </c>
      <c r="E336" t="s">
        <v>2497</v>
      </c>
      <c r="F336" t="s">
        <v>2480</v>
      </c>
      <c r="I336" t="s">
        <v>2498</v>
      </c>
      <c r="J336" t="s">
        <v>2499</v>
      </c>
    </row>
    <row r="337" spans="2:14">
      <c r="B337" t="s">
        <v>13</v>
      </c>
      <c r="C337" t="s">
        <v>14</v>
      </c>
      <c r="D337" t="s">
        <v>2472</v>
      </c>
      <c r="E337" t="s">
        <v>2500</v>
      </c>
      <c r="F337" t="s">
        <v>2480</v>
      </c>
      <c r="I337" t="s">
        <v>2501</v>
      </c>
      <c r="J337" t="s">
        <v>2502</v>
      </c>
      <c r="K337" t="s">
        <v>2503</v>
      </c>
      <c r="L337" t="s">
        <v>2502</v>
      </c>
    </row>
    <row r="338" spans="2:14">
      <c r="B338" t="s">
        <v>1287</v>
      </c>
      <c r="C338" t="s">
        <v>1288</v>
      </c>
      <c r="D338" t="s">
        <v>2472</v>
      </c>
    </row>
    <row r="339" spans="2:14">
      <c r="B339" t="s">
        <v>15</v>
      </c>
      <c r="C339" t="s">
        <v>16</v>
      </c>
      <c r="D339" t="s">
        <v>2472</v>
      </c>
      <c r="E339" t="s">
        <v>2497</v>
      </c>
      <c r="F339" t="s">
        <v>2480</v>
      </c>
      <c r="I339" t="s">
        <v>2504</v>
      </c>
      <c r="J339" t="s">
        <v>2499</v>
      </c>
      <c r="K339" t="s">
        <v>2505</v>
      </c>
      <c r="L339" t="s">
        <v>2502</v>
      </c>
    </row>
    <row r="340" spans="2:14">
      <c r="B340" t="s">
        <v>17</v>
      </c>
      <c r="C340" t="s">
        <v>18</v>
      </c>
      <c r="D340" t="s">
        <v>2472</v>
      </c>
      <c r="E340" t="s">
        <v>2506</v>
      </c>
      <c r="F340" t="s">
        <v>2480</v>
      </c>
      <c r="I340" t="s">
        <v>2507</v>
      </c>
      <c r="J340" t="s">
        <v>2499</v>
      </c>
      <c r="K340" t="s">
        <v>2489</v>
      </c>
      <c r="L340" t="s">
        <v>2502</v>
      </c>
      <c r="M340" t="s">
        <v>2505</v>
      </c>
    </row>
    <row r="341" spans="2:14">
      <c r="B341" t="s">
        <v>1289</v>
      </c>
      <c r="C341" t="s">
        <v>1290</v>
      </c>
      <c r="D341" t="s">
        <v>2486</v>
      </c>
      <c r="F341" t="s">
        <v>2508</v>
      </c>
    </row>
    <row r="342" spans="2:14">
      <c r="B342" t="s">
        <v>1291</v>
      </c>
      <c r="C342" t="s">
        <v>1292</v>
      </c>
      <c r="D342" t="s">
        <v>2486</v>
      </c>
      <c r="F342" t="s">
        <v>2508</v>
      </c>
    </row>
    <row r="343" spans="2:14">
      <c r="B343" t="s">
        <v>19</v>
      </c>
      <c r="C343" t="s">
        <v>20</v>
      </c>
      <c r="D343" t="s">
        <v>2472</v>
      </c>
      <c r="E343" t="s">
        <v>2509</v>
      </c>
      <c r="F343" t="s">
        <v>2480</v>
      </c>
      <c r="I343" t="s">
        <v>2510</v>
      </c>
      <c r="J343" t="s">
        <v>2477</v>
      </c>
      <c r="K343" t="s">
        <v>2511</v>
      </c>
      <c r="L343" t="s">
        <v>2477</v>
      </c>
    </row>
    <row r="344" spans="2:14">
      <c r="B344" t="s">
        <v>21</v>
      </c>
      <c r="C344" t="s">
        <v>22</v>
      </c>
      <c r="D344" t="s">
        <v>2472</v>
      </c>
      <c r="E344" t="s">
        <v>2509</v>
      </c>
      <c r="F344" t="s">
        <v>2480</v>
      </c>
      <c r="I344" t="s">
        <v>2512</v>
      </c>
      <c r="J344" t="s">
        <v>2477</v>
      </c>
      <c r="K344" t="s">
        <v>2513</v>
      </c>
      <c r="L344" t="s">
        <v>2502</v>
      </c>
      <c r="M344" t="s">
        <v>2514</v>
      </c>
      <c r="N344" t="s">
        <v>2477</v>
      </c>
    </row>
    <row r="345" spans="2:14">
      <c r="B345" t="s">
        <v>23</v>
      </c>
      <c r="C345" t="s">
        <v>24</v>
      </c>
      <c r="D345" t="s">
        <v>2472</v>
      </c>
      <c r="E345" t="s">
        <v>2509</v>
      </c>
      <c r="F345" t="s">
        <v>2480</v>
      </c>
      <c r="I345" t="s">
        <v>2515</v>
      </c>
      <c r="J345" t="s">
        <v>2477</v>
      </c>
      <c r="K345" t="s">
        <v>2511</v>
      </c>
      <c r="L345" t="s">
        <v>2477</v>
      </c>
    </row>
    <row r="346" spans="2:14">
      <c r="B346" t="s">
        <v>25</v>
      </c>
      <c r="C346" t="s">
        <v>26</v>
      </c>
      <c r="D346" t="s">
        <v>2472</v>
      </c>
      <c r="E346" t="s">
        <v>2516</v>
      </c>
      <c r="F346" t="s">
        <v>2480</v>
      </c>
      <c r="I346" t="s">
        <v>2517</v>
      </c>
      <c r="J346" t="s">
        <v>2477</v>
      </c>
      <c r="K346" t="s">
        <v>2518</v>
      </c>
      <c r="L346" t="s">
        <v>2477</v>
      </c>
    </row>
    <row r="347" spans="2:14">
      <c r="B347" t="s">
        <v>27</v>
      </c>
      <c r="C347" t="s">
        <v>28</v>
      </c>
      <c r="D347" t="s">
        <v>2472</v>
      </c>
      <c r="E347" t="s">
        <v>2516</v>
      </c>
      <c r="F347" t="s">
        <v>2480</v>
      </c>
      <c r="I347" t="s">
        <v>2519</v>
      </c>
      <c r="J347" t="s">
        <v>2477</v>
      </c>
      <c r="K347" t="s">
        <v>2520</v>
      </c>
      <c r="L347" t="s">
        <v>2477</v>
      </c>
    </row>
    <row r="348" spans="2:14">
      <c r="B348" t="s">
        <v>1293</v>
      </c>
      <c r="C348" t="s">
        <v>1294</v>
      </c>
      <c r="D348" t="s">
        <v>2472</v>
      </c>
    </row>
    <row r="349" spans="2:14">
      <c r="B349" t="s">
        <v>1295</v>
      </c>
      <c r="C349" t="s">
        <v>1296</v>
      </c>
      <c r="D349" t="s">
        <v>2472</v>
      </c>
    </row>
    <row r="350" spans="2:14">
      <c r="B350" t="s">
        <v>29</v>
      </c>
      <c r="C350" t="s">
        <v>30</v>
      </c>
      <c r="D350" t="s">
        <v>2472</v>
      </c>
      <c r="E350" t="s">
        <v>2516</v>
      </c>
      <c r="F350" t="s">
        <v>2480</v>
      </c>
      <c r="I350" t="s">
        <v>2521</v>
      </c>
      <c r="J350" t="s">
        <v>2477</v>
      </c>
      <c r="K350" t="s">
        <v>2518</v>
      </c>
      <c r="L350" t="s">
        <v>2477</v>
      </c>
    </row>
    <row r="351" spans="2:14">
      <c r="B351" t="s">
        <v>1297</v>
      </c>
      <c r="C351" t="s">
        <v>1298</v>
      </c>
      <c r="D351" t="s">
        <v>2472</v>
      </c>
    </row>
    <row r="352" spans="2:14">
      <c r="B352" t="s">
        <v>31</v>
      </c>
      <c r="C352" t="s">
        <v>32</v>
      </c>
      <c r="D352" t="s">
        <v>2472</v>
      </c>
      <c r="E352" t="s">
        <v>2497</v>
      </c>
      <c r="F352" t="s">
        <v>2480</v>
      </c>
      <c r="I352" t="s">
        <v>2522</v>
      </c>
      <c r="J352" t="s">
        <v>2499</v>
      </c>
      <c r="K352" t="s">
        <v>2475</v>
      </c>
      <c r="L352" t="s">
        <v>2502</v>
      </c>
    </row>
    <row r="353" spans="2:14">
      <c r="B353" t="s">
        <v>33</v>
      </c>
      <c r="C353" t="s">
        <v>34</v>
      </c>
      <c r="D353" t="s">
        <v>2472</v>
      </c>
      <c r="E353" t="s">
        <v>2497</v>
      </c>
      <c r="F353" t="s">
        <v>2480</v>
      </c>
      <c r="I353" t="s">
        <v>2510</v>
      </c>
      <c r="J353" t="s">
        <v>2499</v>
      </c>
      <c r="K353" t="s">
        <v>2518</v>
      </c>
      <c r="L353" t="s">
        <v>2502</v>
      </c>
    </row>
    <row r="354" spans="2:14">
      <c r="B354" t="s">
        <v>35</v>
      </c>
      <c r="C354" t="s">
        <v>36</v>
      </c>
      <c r="D354" t="s">
        <v>2472</v>
      </c>
      <c r="E354" t="s">
        <v>2523</v>
      </c>
      <c r="F354" t="s">
        <v>2480</v>
      </c>
      <c r="I354" t="s">
        <v>2524</v>
      </c>
      <c r="J354" t="s">
        <v>2499</v>
      </c>
      <c r="K354" t="s">
        <v>2475</v>
      </c>
      <c r="L354" t="s">
        <v>2502</v>
      </c>
    </row>
    <row r="355" spans="2:14">
      <c r="B355" t="s">
        <v>37</v>
      </c>
      <c r="C355" t="s">
        <v>38</v>
      </c>
      <c r="D355" t="s">
        <v>2472</v>
      </c>
      <c r="E355" t="s">
        <v>2525</v>
      </c>
      <c r="F355" t="s">
        <v>2480</v>
      </c>
    </row>
    <row r="356" spans="2:14">
      <c r="B356" t="s">
        <v>39</v>
      </c>
      <c r="C356" t="s">
        <v>40</v>
      </c>
      <c r="D356" t="s">
        <v>2472</v>
      </c>
      <c r="E356" t="s">
        <v>2526</v>
      </c>
      <c r="F356" t="s">
        <v>2527</v>
      </c>
      <c r="I356" t="s">
        <v>2521</v>
      </c>
      <c r="J356" t="s">
        <v>2477</v>
      </c>
      <c r="K356" t="s">
        <v>2528</v>
      </c>
      <c r="L356" t="s">
        <v>2477</v>
      </c>
    </row>
    <row r="357" spans="2:14">
      <c r="B357" t="s">
        <v>41</v>
      </c>
      <c r="C357" t="s">
        <v>42</v>
      </c>
      <c r="D357" t="s">
        <v>2472</v>
      </c>
      <c r="E357" t="s">
        <v>2523</v>
      </c>
      <c r="F357" t="s">
        <v>2480</v>
      </c>
      <c r="I357" t="s">
        <v>2529</v>
      </c>
      <c r="J357" t="s">
        <v>2477</v>
      </c>
      <c r="L357" t="s">
        <v>2477</v>
      </c>
      <c r="N357" t="s">
        <v>2477</v>
      </c>
    </row>
    <row r="358" spans="2:14">
      <c r="B358" t="s">
        <v>1299</v>
      </c>
      <c r="C358" t="s">
        <v>1300</v>
      </c>
      <c r="D358" t="s">
        <v>2472</v>
      </c>
      <c r="E358" t="s">
        <v>2530</v>
      </c>
      <c r="F358" t="s">
        <v>2480</v>
      </c>
    </row>
    <row r="359" spans="2:14">
      <c r="B359" t="s">
        <v>1301</v>
      </c>
      <c r="C359" t="s">
        <v>1302</v>
      </c>
      <c r="D359" t="s">
        <v>2472</v>
      </c>
      <c r="E359" t="s">
        <v>2531</v>
      </c>
      <c r="F359" t="s">
        <v>2480</v>
      </c>
    </row>
    <row r="360" spans="2:14">
      <c r="B360" t="s">
        <v>43</v>
      </c>
      <c r="C360" t="s">
        <v>44</v>
      </c>
      <c r="D360" t="s">
        <v>2472</v>
      </c>
      <c r="E360" t="s">
        <v>2531</v>
      </c>
      <c r="F360" t="s">
        <v>2480</v>
      </c>
      <c r="H360" t="s">
        <v>2505</v>
      </c>
      <c r="I360" t="s">
        <v>2481</v>
      </c>
      <c r="J360" t="s">
        <v>2477</v>
      </c>
      <c r="L360" t="s">
        <v>2477</v>
      </c>
      <c r="N360" t="s">
        <v>2477</v>
      </c>
    </row>
    <row r="361" spans="2:14">
      <c r="B361" t="s">
        <v>45</v>
      </c>
      <c r="C361" t="s">
        <v>46</v>
      </c>
      <c r="D361" t="s">
        <v>2472</v>
      </c>
      <c r="E361" t="s">
        <v>2532</v>
      </c>
      <c r="F361" t="s">
        <v>2527</v>
      </c>
      <c r="I361" t="s">
        <v>2533</v>
      </c>
      <c r="J361" t="s">
        <v>2534</v>
      </c>
      <c r="K361" t="s">
        <v>2528</v>
      </c>
      <c r="L361" t="s">
        <v>2534</v>
      </c>
    </row>
    <row r="362" spans="2:14">
      <c r="B362" t="s">
        <v>47</v>
      </c>
      <c r="C362" t="s">
        <v>48</v>
      </c>
      <c r="D362" t="s">
        <v>2472</v>
      </c>
      <c r="F362" t="s">
        <v>2527</v>
      </c>
    </row>
    <row r="363" spans="2:14">
      <c r="B363" t="s">
        <v>542</v>
      </c>
      <c r="C363" t="s">
        <v>543</v>
      </c>
      <c r="D363" t="s">
        <v>2472</v>
      </c>
      <c r="E363" t="s">
        <v>2535</v>
      </c>
      <c r="F363" t="s">
        <v>2473</v>
      </c>
      <c r="H363" t="s">
        <v>2536</v>
      </c>
      <c r="J363" t="s">
        <v>2482</v>
      </c>
    </row>
    <row r="364" spans="2:14">
      <c r="B364" t="s">
        <v>1303</v>
      </c>
      <c r="C364" t="s">
        <v>1304</v>
      </c>
      <c r="D364" t="s">
        <v>2472</v>
      </c>
      <c r="E364" t="s">
        <v>2493</v>
      </c>
      <c r="F364" t="s">
        <v>2473</v>
      </c>
      <c r="G364" t="s">
        <v>2474</v>
      </c>
      <c r="I364" t="s">
        <v>2476</v>
      </c>
    </row>
    <row r="365" spans="2:14">
      <c r="B365" t="s">
        <v>1305</v>
      </c>
      <c r="C365" t="s">
        <v>1306</v>
      </c>
      <c r="D365" t="s">
        <v>2472</v>
      </c>
      <c r="F365" t="s">
        <v>2473</v>
      </c>
      <c r="G365" t="s">
        <v>2474</v>
      </c>
      <c r="I365" t="s">
        <v>2476</v>
      </c>
    </row>
    <row r="366" spans="2:14">
      <c r="B366" t="s">
        <v>1307</v>
      </c>
      <c r="C366" t="s">
        <v>1308</v>
      </c>
      <c r="D366" t="s">
        <v>2472</v>
      </c>
      <c r="F366" t="s">
        <v>2473</v>
      </c>
      <c r="G366" t="s">
        <v>2474</v>
      </c>
      <c r="I366" t="s">
        <v>2476</v>
      </c>
    </row>
    <row r="367" spans="2:14">
      <c r="B367" t="s">
        <v>1309</v>
      </c>
      <c r="C367" t="s">
        <v>1310</v>
      </c>
      <c r="D367" t="s">
        <v>2472</v>
      </c>
      <c r="F367" t="s">
        <v>2473</v>
      </c>
      <c r="G367" t="s">
        <v>2474</v>
      </c>
      <c r="I367" t="s">
        <v>2476</v>
      </c>
    </row>
    <row r="368" spans="2:14">
      <c r="B368" t="s">
        <v>1311</v>
      </c>
      <c r="C368" t="s">
        <v>1312</v>
      </c>
      <c r="D368" t="s">
        <v>2472</v>
      </c>
      <c r="F368" t="s">
        <v>2473</v>
      </c>
      <c r="G368" t="s">
        <v>2474</v>
      </c>
      <c r="I368" t="s">
        <v>2476</v>
      </c>
    </row>
    <row r="369" spans="2:9">
      <c r="B369" t="s">
        <v>1313</v>
      </c>
      <c r="C369" t="s">
        <v>1314</v>
      </c>
      <c r="D369" t="s">
        <v>2472</v>
      </c>
      <c r="F369" t="s">
        <v>2473</v>
      </c>
      <c r="G369" t="s">
        <v>2474</v>
      </c>
      <c r="I369" t="s">
        <v>2476</v>
      </c>
    </row>
    <row r="370" spans="2:9">
      <c r="B370" t="s">
        <v>1315</v>
      </c>
      <c r="C370" t="s">
        <v>1316</v>
      </c>
      <c r="D370" t="s">
        <v>2472</v>
      </c>
      <c r="F370" t="s">
        <v>2473</v>
      </c>
      <c r="G370" t="s">
        <v>2474</v>
      </c>
      <c r="I370" t="s">
        <v>2476</v>
      </c>
    </row>
    <row r="371" spans="2:9">
      <c r="B371" t="s">
        <v>1317</v>
      </c>
      <c r="C371" t="s">
        <v>1318</v>
      </c>
      <c r="D371" t="s">
        <v>2472</v>
      </c>
      <c r="F371" t="s">
        <v>2473</v>
      </c>
      <c r="G371" t="s">
        <v>2474</v>
      </c>
      <c r="I371" t="s">
        <v>2476</v>
      </c>
    </row>
    <row r="372" spans="2:9">
      <c r="B372" t="s">
        <v>1319</v>
      </c>
      <c r="C372" t="s">
        <v>1320</v>
      </c>
      <c r="D372" t="s">
        <v>2472</v>
      </c>
      <c r="F372" t="s">
        <v>2473</v>
      </c>
      <c r="G372" t="s">
        <v>2474</v>
      </c>
      <c r="I372" t="s">
        <v>2476</v>
      </c>
    </row>
    <row r="373" spans="2:9">
      <c r="B373" t="s">
        <v>1321</v>
      </c>
      <c r="C373" t="s">
        <v>1322</v>
      </c>
      <c r="D373" t="s">
        <v>2472</v>
      </c>
      <c r="F373" t="s">
        <v>2473</v>
      </c>
      <c r="G373" t="s">
        <v>2474</v>
      </c>
      <c r="I373" t="s">
        <v>2476</v>
      </c>
    </row>
    <row r="374" spans="2:9">
      <c r="B374" t="s">
        <v>1323</v>
      </c>
      <c r="C374" t="s">
        <v>1324</v>
      </c>
      <c r="D374" t="s">
        <v>2472</v>
      </c>
      <c r="F374" t="s">
        <v>2473</v>
      </c>
      <c r="G374" t="s">
        <v>2474</v>
      </c>
      <c r="I374" t="s">
        <v>2476</v>
      </c>
    </row>
    <row r="375" spans="2:9">
      <c r="B375" t="s">
        <v>1325</v>
      </c>
      <c r="C375" t="s">
        <v>1326</v>
      </c>
      <c r="D375" t="s">
        <v>2472</v>
      </c>
      <c r="F375" t="s">
        <v>2473</v>
      </c>
      <c r="G375" t="s">
        <v>2474</v>
      </c>
      <c r="I375" t="s">
        <v>2476</v>
      </c>
    </row>
    <row r="376" spans="2:9">
      <c r="B376" t="s">
        <v>1327</v>
      </c>
      <c r="C376" t="s">
        <v>1328</v>
      </c>
      <c r="D376" t="s">
        <v>2472</v>
      </c>
      <c r="F376" t="s">
        <v>2473</v>
      </c>
      <c r="G376" t="s">
        <v>2474</v>
      </c>
      <c r="I376" t="s">
        <v>2476</v>
      </c>
    </row>
    <row r="377" spans="2:9">
      <c r="B377" t="s">
        <v>1329</v>
      </c>
      <c r="C377" t="s">
        <v>1330</v>
      </c>
      <c r="D377" t="s">
        <v>2472</v>
      </c>
      <c r="F377" t="s">
        <v>2473</v>
      </c>
      <c r="G377" t="s">
        <v>2474</v>
      </c>
      <c r="I377" t="s">
        <v>2476</v>
      </c>
    </row>
    <row r="378" spans="2:9">
      <c r="B378" t="s">
        <v>1331</v>
      </c>
      <c r="C378" t="s">
        <v>1332</v>
      </c>
      <c r="D378" t="s">
        <v>2472</v>
      </c>
      <c r="F378" t="s">
        <v>2473</v>
      </c>
      <c r="G378" t="s">
        <v>2474</v>
      </c>
      <c r="I378" t="s">
        <v>2476</v>
      </c>
    </row>
    <row r="379" spans="2:9">
      <c r="B379" t="s">
        <v>1333</v>
      </c>
      <c r="C379" t="s">
        <v>1334</v>
      </c>
      <c r="D379" t="s">
        <v>2472</v>
      </c>
      <c r="F379" t="s">
        <v>2473</v>
      </c>
      <c r="G379" t="s">
        <v>2474</v>
      </c>
      <c r="I379" t="s">
        <v>2476</v>
      </c>
    </row>
    <row r="380" spans="2:9">
      <c r="B380" t="s">
        <v>1335</v>
      </c>
      <c r="C380" t="s">
        <v>1336</v>
      </c>
      <c r="D380" t="s">
        <v>2472</v>
      </c>
      <c r="F380" t="s">
        <v>2473</v>
      </c>
      <c r="G380" t="s">
        <v>2474</v>
      </c>
      <c r="I380" t="s">
        <v>2476</v>
      </c>
    </row>
    <row r="381" spans="2:9">
      <c r="B381" t="s">
        <v>1337</v>
      </c>
      <c r="C381" t="s">
        <v>1338</v>
      </c>
      <c r="D381" t="s">
        <v>2472</v>
      </c>
      <c r="F381" t="s">
        <v>2473</v>
      </c>
      <c r="G381" t="s">
        <v>2474</v>
      </c>
      <c r="I381" t="s">
        <v>2476</v>
      </c>
    </row>
    <row r="382" spans="2:9">
      <c r="B382" t="s">
        <v>1339</v>
      </c>
      <c r="C382" t="s">
        <v>1340</v>
      </c>
      <c r="D382" t="s">
        <v>2472</v>
      </c>
      <c r="F382" t="s">
        <v>2473</v>
      </c>
      <c r="G382" t="s">
        <v>2474</v>
      </c>
      <c r="I382" t="s">
        <v>2476</v>
      </c>
    </row>
    <row r="383" spans="2:9">
      <c r="B383" t="s">
        <v>1341</v>
      </c>
      <c r="C383" t="s">
        <v>1342</v>
      </c>
      <c r="D383" t="s">
        <v>2472</v>
      </c>
      <c r="F383" t="s">
        <v>2473</v>
      </c>
      <c r="G383" t="s">
        <v>2474</v>
      </c>
      <c r="I383" t="s">
        <v>2476</v>
      </c>
    </row>
    <row r="384" spans="2:9">
      <c r="B384" t="s">
        <v>1343</v>
      </c>
      <c r="C384" t="s">
        <v>1344</v>
      </c>
    </row>
    <row r="385" spans="2:3">
      <c r="B385" t="s">
        <v>1345</v>
      </c>
      <c r="C385" t="s">
        <v>1346</v>
      </c>
    </row>
    <row r="386" spans="2:3">
      <c r="B386" t="s">
        <v>49</v>
      </c>
      <c r="C386" t="s">
        <v>50</v>
      </c>
    </row>
    <row r="387" spans="2:3">
      <c r="B387" t="s">
        <v>281</v>
      </c>
      <c r="C387" t="s">
        <v>282</v>
      </c>
    </row>
    <row r="388" spans="2:3">
      <c r="B388" t="s">
        <v>409</v>
      </c>
      <c r="C388" t="s">
        <v>410</v>
      </c>
    </row>
    <row r="389" spans="2:3">
      <c r="B389" t="s">
        <v>283</v>
      </c>
      <c r="C389" t="s">
        <v>284</v>
      </c>
    </row>
    <row r="390" spans="2:3">
      <c r="B390" t="s">
        <v>397</v>
      </c>
      <c r="C390" t="s">
        <v>398</v>
      </c>
    </row>
    <row r="391" spans="2:3">
      <c r="B391" t="s">
        <v>1347</v>
      </c>
      <c r="C391" t="s">
        <v>1348</v>
      </c>
    </row>
    <row r="392" spans="2:3">
      <c r="B392" t="s">
        <v>407</v>
      </c>
      <c r="C392" t="s">
        <v>408</v>
      </c>
    </row>
    <row r="393" spans="2:3">
      <c r="B393" t="s">
        <v>51</v>
      </c>
      <c r="C393" t="s">
        <v>52</v>
      </c>
    </row>
    <row r="394" spans="2:3">
      <c r="B394" t="s">
        <v>53</v>
      </c>
      <c r="C394" t="s">
        <v>54</v>
      </c>
    </row>
    <row r="395" spans="2:3">
      <c r="B395" t="s">
        <v>285</v>
      </c>
      <c r="C395" t="s">
        <v>286</v>
      </c>
    </row>
    <row r="396" spans="2:3">
      <c r="B396" t="s">
        <v>287</v>
      </c>
      <c r="C396" t="s">
        <v>288</v>
      </c>
    </row>
    <row r="397" spans="2:3">
      <c r="B397" t="s">
        <v>399</v>
      </c>
      <c r="C397" t="s">
        <v>400</v>
      </c>
    </row>
    <row r="398" spans="2:3">
      <c r="B398" t="s">
        <v>55</v>
      </c>
      <c r="C398" t="s">
        <v>56</v>
      </c>
    </row>
    <row r="399" spans="2:3">
      <c r="B399" t="s">
        <v>57</v>
      </c>
      <c r="C399" t="s">
        <v>58</v>
      </c>
    </row>
    <row r="400" spans="2:3">
      <c r="B400" t="s">
        <v>59</v>
      </c>
      <c r="C400" t="s">
        <v>60</v>
      </c>
    </row>
    <row r="401" spans="2:3">
      <c r="B401" t="s">
        <v>1349</v>
      </c>
      <c r="C401" t="s">
        <v>1350</v>
      </c>
    </row>
    <row r="402" spans="2:3">
      <c r="B402" t="s">
        <v>1351</v>
      </c>
      <c r="C402" t="s">
        <v>1352</v>
      </c>
    </row>
    <row r="403" spans="2:3">
      <c r="B403" t="s">
        <v>61</v>
      </c>
      <c r="C403" t="s">
        <v>62</v>
      </c>
    </row>
    <row r="404" spans="2:3">
      <c r="B404" t="s">
        <v>63</v>
      </c>
      <c r="C404" t="s">
        <v>64</v>
      </c>
    </row>
    <row r="405" spans="2:3">
      <c r="B405" t="s">
        <v>65</v>
      </c>
      <c r="C405" t="s">
        <v>66</v>
      </c>
    </row>
    <row r="406" spans="2:3">
      <c r="B406" t="s">
        <v>67</v>
      </c>
      <c r="C406" t="s">
        <v>68</v>
      </c>
    </row>
    <row r="407" spans="2:3">
      <c r="B407" t="s">
        <v>69</v>
      </c>
      <c r="C407" t="s">
        <v>70</v>
      </c>
    </row>
    <row r="408" spans="2:3">
      <c r="B408" t="s">
        <v>71</v>
      </c>
      <c r="C408" t="s">
        <v>72</v>
      </c>
    </row>
    <row r="409" spans="2:3">
      <c r="B409" t="s">
        <v>73</v>
      </c>
      <c r="C409" t="s">
        <v>74</v>
      </c>
    </row>
    <row r="410" spans="2:3">
      <c r="B410" t="s">
        <v>422</v>
      </c>
      <c r="C410" t="s">
        <v>459</v>
      </c>
    </row>
    <row r="411" spans="2:3">
      <c r="B411" t="s">
        <v>430</v>
      </c>
      <c r="C411" t="s">
        <v>467</v>
      </c>
    </row>
    <row r="412" spans="2:3">
      <c r="B412" t="s">
        <v>431</v>
      </c>
      <c r="C412" t="s">
        <v>468</v>
      </c>
    </row>
    <row r="413" spans="2:3">
      <c r="B413" t="s">
        <v>75</v>
      </c>
      <c r="C413" t="s">
        <v>76</v>
      </c>
    </row>
    <row r="414" spans="2:3">
      <c r="B414" t="s">
        <v>427</v>
      </c>
      <c r="C414" t="s">
        <v>464</v>
      </c>
    </row>
    <row r="415" spans="2:3">
      <c r="B415" t="s">
        <v>424</v>
      </c>
      <c r="C415" t="s">
        <v>461</v>
      </c>
    </row>
    <row r="416" spans="2:3">
      <c r="B416" t="s">
        <v>77</v>
      </c>
      <c r="C416" t="s">
        <v>78</v>
      </c>
    </row>
    <row r="417" spans="2:3">
      <c r="B417" t="s">
        <v>425</v>
      </c>
      <c r="C417" t="s">
        <v>462</v>
      </c>
    </row>
    <row r="418" spans="2:3">
      <c r="B418" t="s">
        <v>1353</v>
      </c>
      <c r="C418" t="s">
        <v>1354</v>
      </c>
    </row>
    <row r="419" spans="2:3">
      <c r="B419" t="s">
        <v>1355</v>
      </c>
      <c r="C419" t="s">
        <v>1356</v>
      </c>
    </row>
    <row r="420" spans="2:3">
      <c r="B420" t="s">
        <v>79</v>
      </c>
      <c r="C420" t="s">
        <v>80</v>
      </c>
    </row>
    <row r="421" spans="2:3">
      <c r="B421" t="s">
        <v>81</v>
      </c>
      <c r="C421" t="s">
        <v>82</v>
      </c>
    </row>
    <row r="422" spans="2:3">
      <c r="B422" t="s">
        <v>83</v>
      </c>
      <c r="C422" t="s">
        <v>84</v>
      </c>
    </row>
    <row r="423" spans="2:3">
      <c r="B423" t="s">
        <v>85</v>
      </c>
      <c r="C423" t="s">
        <v>86</v>
      </c>
    </row>
    <row r="424" spans="2:3">
      <c r="B424" t="s">
        <v>423</v>
      </c>
      <c r="C424" t="s">
        <v>460</v>
      </c>
    </row>
    <row r="425" spans="2:3">
      <c r="B425" t="s">
        <v>1357</v>
      </c>
      <c r="C425" t="s">
        <v>1358</v>
      </c>
    </row>
    <row r="426" spans="2:3">
      <c r="B426" t="s">
        <v>1359</v>
      </c>
      <c r="C426" t="s">
        <v>1360</v>
      </c>
    </row>
    <row r="427" spans="2:3">
      <c r="B427" t="s">
        <v>87</v>
      </c>
      <c r="C427" t="s">
        <v>88</v>
      </c>
    </row>
    <row r="428" spans="2:3">
      <c r="B428" t="s">
        <v>89</v>
      </c>
      <c r="C428" t="s">
        <v>90</v>
      </c>
    </row>
    <row r="429" spans="2:3">
      <c r="B429" t="s">
        <v>401</v>
      </c>
      <c r="C429" t="s">
        <v>402</v>
      </c>
    </row>
    <row r="430" spans="2:3">
      <c r="B430" t="s">
        <v>289</v>
      </c>
      <c r="C430" t="s">
        <v>290</v>
      </c>
    </row>
    <row r="431" spans="2:3">
      <c r="B431" t="s">
        <v>405</v>
      </c>
      <c r="C431" t="s">
        <v>406</v>
      </c>
    </row>
    <row r="432" spans="2:3">
      <c r="B432" t="s">
        <v>421</v>
      </c>
      <c r="C432" t="s">
        <v>458</v>
      </c>
    </row>
    <row r="433" spans="2:3">
      <c r="B433" t="s">
        <v>403</v>
      </c>
      <c r="C433" t="s">
        <v>404</v>
      </c>
    </row>
    <row r="434" spans="2:3">
      <c r="B434" t="s">
        <v>355</v>
      </c>
      <c r="C434" t="s">
        <v>356</v>
      </c>
    </row>
    <row r="435" spans="2:3">
      <c r="B435" t="s">
        <v>257</v>
      </c>
      <c r="C435" t="s">
        <v>258</v>
      </c>
    </row>
    <row r="436" spans="2:3">
      <c r="B436" t="s">
        <v>1361</v>
      </c>
      <c r="C436" t="s">
        <v>1362</v>
      </c>
    </row>
    <row r="437" spans="2:3">
      <c r="B437" t="s">
        <v>1363</v>
      </c>
      <c r="C437" t="s">
        <v>1364</v>
      </c>
    </row>
    <row r="438" spans="2:3">
      <c r="B438" t="s">
        <v>1365</v>
      </c>
      <c r="C438" t="s">
        <v>1366</v>
      </c>
    </row>
    <row r="439" spans="2:3">
      <c r="B439" t="s">
        <v>1367</v>
      </c>
      <c r="C439" t="s">
        <v>1368</v>
      </c>
    </row>
    <row r="440" spans="2:3">
      <c r="B440" t="s">
        <v>259</v>
      </c>
      <c r="C440" t="s">
        <v>260</v>
      </c>
    </row>
    <row r="441" spans="2:3">
      <c r="B441" t="s">
        <v>438</v>
      </c>
      <c r="C441" t="s">
        <v>475</v>
      </c>
    </row>
    <row r="442" spans="2:3">
      <c r="B442" t="s">
        <v>261</v>
      </c>
      <c r="C442" t="s">
        <v>262</v>
      </c>
    </row>
    <row r="443" spans="2:3">
      <c r="B443" t="s">
        <v>434</v>
      </c>
      <c r="C443" t="s">
        <v>471</v>
      </c>
    </row>
    <row r="444" spans="2:3">
      <c r="B444" t="s">
        <v>1369</v>
      </c>
      <c r="C444" t="s">
        <v>1370</v>
      </c>
    </row>
    <row r="445" spans="2:3">
      <c r="B445" t="s">
        <v>1371</v>
      </c>
      <c r="C445" t="s">
        <v>1372</v>
      </c>
    </row>
    <row r="446" spans="2:3">
      <c r="B446" t="s">
        <v>263</v>
      </c>
      <c r="C446" t="s">
        <v>264</v>
      </c>
    </row>
    <row r="447" spans="2:3">
      <c r="B447" t="s">
        <v>436</v>
      </c>
      <c r="C447" t="s">
        <v>473</v>
      </c>
    </row>
    <row r="448" spans="2:3">
      <c r="B448" t="s">
        <v>265</v>
      </c>
      <c r="C448" t="s">
        <v>266</v>
      </c>
    </row>
    <row r="449" spans="2:3">
      <c r="B449" t="s">
        <v>441</v>
      </c>
      <c r="C449" t="s">
        <v>1373</v>
      </c>
    </row>
    <row r="450" spans="2:3">
      <c r="B450" t="s">
        <v>433</v>
      </c>
      <c r="C450" t="s">
        <v>470</v>
      </c>
    </row>
    <row r="451" spans="2:3">
      <c r="B451" t="s">
        <v>1374</v>
      </c>
      <c r="C451" t="s">
        <v>1375</v>
      </c>
    </row>
    <row r="452" spans="2:3">
      <c r="B452" t="s">
        <v>452</v>
      </c>
      <c r="C452" t="s">
        <v>488</v>
      </c>
    </row>
    <row r="453" spans="2:3">
      <c r="B453" t="s">
        <v>447</v>
      </c>
      <c r="C453" t="s">
        <v>483</v>
      </c>
    </row>
    <row r="454" spans="2:3">
      <c r="B454" t="s">
        <v>449</v>
      </c>
      <c r="C454" t="s">
        <v>485</v>
      </c>
    </row>
    <row r="455" spans="2:3">
      <c r="B455" t="s">
        <v>455</v>
      </c>
      <c r="C455" t="s">
        <v>491</v>
      </c>
    </row>
    <row r="456" spans="2:3">
      <c r="B456" t="s">
        <v>321</v>
      </c>
      <c r="C456" t="s">
        <v>322</v>
      </c>
    </row>
    <row r="457" spans="2:3">
      <c r="B457" t="s">
        <v>367</v>
      </c>
      <c r="C457" t="s">
        <v>368</v>
      </c>
    </row>
    <row r="458" spans="2:3">
      <c r="B458" t="s">
        <v>91</v>
      </c>
      <c r="C458" t="s">
        <v>92</v>
      </c>
    </row>
    <row r="459" spans="2:3">
      <c r="B459" t="s">
        <v>93</v>
      </c>
      <c r="C459" t="s">
        <v>94</v>
      </c>
    </row>
    <row r="460" spans="2:3">
      <c r="B460" t="s">
        <v>293</v>
      </c>
      <c r="C460" t="s">
        <v>294</v>
      </c>
    </row>
    <row r="461" spans="2:3">
      <c r="B461" t="s">
        <v>295</v>
      </c>
      <c r="C461" t="s">
        <v>296</v>
      </c>
    </row>
    <row r="462" spans="2:3">
      <c r="B462" t="s">
        <v>95</v>
      </c>
      <c r="C462" t="s">
        <v>96</v>
      </c>
    </row>
    <row r="463" spans="2:3">
      <c r="B463" t="s">
        <v>1376</v>
      </c>
      <c r="C463" t="s">
        <v>1377</v>
      </c>
    </row>
    <row r="464" spans="2:3">
      <c r="B464" t="s">
        <v>1378</v>
      </c>
      <c r="C464" t="s">
        <v>1379</v>
      </c>
    </row>
    <row r="465" spans="2:3">
      <c r="B465" t="s">
        <v>451</v>
      </c>
      <c r="C465" t="s">
        <v>487</v>
      </c>
    </row>
    <row r="466" spans="2:3">
      <c r="B466" t="s">
        <v>97</v>
      </c>
      <c r="C466" t="s">
        <v>98</v>
      </c>
    </row>
    <row r="467" spans="2:3">
      <c r="B467" t="s">
        <v>267</v>
      </c>
      <c r="C467" t="s">
        <v>268</v>
      </c>
    </row>
    <row r="468" spans="2:3">
      <c r="B468" t="s">
        <v>435</v>
      </c>
      <c r="C468" t="s">
        <v>472</v>
      </c>
    </row>
    <row r="469" spans="2:3">
      <c r="B469" t="s">
        <v>448</v>
      </c>
      <c r="C469" t="s">
        <v>484</v>
      </c>
    </row>
    <row r="470" spans="2:3">
      <c r="B470" t="s">
        <v>99</v>
      </c>
      <c r="C470" t="s">
        <v>100</v>
      </c>
    </row>
    <row r="471" spans="2:3">
      <c r="B471" t="s">
        <v>269</v>
      </c>
      <c r="C471" t="s">
        <v>270</v>
      </c>
    </row>
    <row r="472" spans="2:3">
      <c r="B472" t="s">
        <v>442</v>
      </c>
      <c r="C472" t="s">
        <v>478</v>
      </c>
    </row>
    <row r="473" spans="2:3">
      <c r="B473" t="s">
        <v>456</v>
      </c>
      <c r="C473" t="s">
        <v>492</v>
      </c>
    </row>
    <row r="474" spans="2:3">
      <c r="B474" t="s">
        <v>1380</v>
      </c>
      <c r="C474" t="s">
        <v>1381</v>
      </c>
    </row>
    <row r="475" spans="2:3">
      <c r="B475" t="s">
        <v>1382</v>
      </c>
      <c r="C475" t="s">
        <v>1383</v>
      </c>
    </row>
    <row r="476" spans="2:3">
      <c r="B476" t="s">
        <v>371</v>
      </c>
      <c r="C476" t="s">
        <v>372</v>
      </c>
    </row>
    <row r="477" spans="2:3">
      <c r="B477" t="s">
        <v>1384</v>
      </c>
      <c r="C477" t="s">
        <v>1385</v>
      </c>
    </row>
    <row r="478" spans="2:3">
      <c r="B478" t="s">
        <v>391</v>
      </c>
      <c r="C478" t="s">
        <v>392</v>
      </c>
    </row>
    <row r="479" spans="2:3">
      <c r="B479" t="s">
        <v>379</v>
      </c>
      <c r="C479" t="s">
        <v>380</v>
      </c>
    </row>
    <row r="480" spans="2:3">
      <c r="B480" t="s">
        <v>389</v>
      </c>
      <c r="C480" t="s">
        <v>390</v>
      </c>
    </row>
    <row r="481" spans="2:3">
      <c r="B481" t="s">
        <v>385</v>
      </c>
      <c r="C481" t="s">
        <v>386</v>
      </c>
    </row>
    <row r="482" spans="2:3">
      <c r="B482" t="s">
        <v>349</v>
      </c>
      <c r="C482" t="s">
        <v>350</v>
      </c>
    </row>
    <row r="483" spans="2:3">
      <c r="B483" t="s">
        <v>351</v>
      </c>
      <c r="C483" t="s">
        <v>352</v>
      </c>
    </row>
    <row r="484" spans="2:3">
      <c r="B484" t="s">
        <v>353</v>
      </c>
      <c r="C484" t="s">
        <v>354</v>
      </c>
    </row>
    <row r="485" spans="2:3">
      <c r="B485" t="s">
        <v>363</v>
      </c>
      <c r="C485" t="s">
        <v>364</v>
      </c>
    </row>
    <row r="486" spans="2:3">
      <c r="B486" t="s">
        <v>365</v>
      </c>
      <c r="C486" t="s">
        <v>366</v>
      </c>
    </row>
    <row r="487" spans="2:3">
      <c r="B487" t="s">
        <v>369</v>
      </c>
      <c r="C487" t="s">
        <v>370</v>
      </c>
    </row>
    <row r="488" spans="2:3">
      <c r="B488" t="s">
        <v>381</v>
      </c>
      <c r="C488" t="s">
        <v>382</v>
      </c>
    </row>
    <row r="489" spans="2:3">
      <c r="B489" t="s">
        <v>383</v>
      </c>
      <c r="C489" t="s">
        <v>384</v>
      </c>
    </row>
    <row r="490" spans="2:3">
      <c r="B490" t="s">
        <v>387</v>
      </c>
      <c r="C490" t="s">
        <v>388</v>
      </c>
    </row>
    <row r="491" spans="2:3">
      <c r="B491" t="s">
        <v>341</v>
      </c>
      <c r="C491" t="s">
        <v>342</v>
      </c>
    </row>
    <row r="492" spans="2:3">
      <c r="B492" t="s">
        <v>335</v>
      </c>
      <c r="C492" t="s">
        <v>336</v>
      </c>
    </row>
    <row r="493" spans="2:3">
      <c r="B493" t="s">
        <v>339</v>
      </c>
      <c r="C493" t="s">
        <v>340</v>
      </c>
    </row>
    <row r="494" spans="2:3">
      <c r="B494" t="s">
        <v>337</v>
      </c>
      <c r="C494" t="s">
        <v>338</v>
      </c>
    </row>
    <row r="495" spans="2:3">
      <c r="B495" t="s">
        <v>343</v>
      </c>
      <c r="C495" t="s">
        <v>344</v>
      </c>
    </row>
    <row r="496" spans="2:3">
      <c r="B496" t="s">
        <v>297</v>
      </c>
      <c r="C496" t="s">
        <v>298</v>
      </c>
    </row>
    <row r="497" spans="2:14">
      <c r="B497" t="s">
        <v>411</v>
      </c>
      <c r="C497" t="s">
        <v>412</v>
      </c>
    </row>
    <row r="498" spans="2:14">
      <c r="B498" t="s">
        <v>101</v>
      </c>
      <c r="C498" t="s">
        <v>102</v>
      </c>
    </row>
    <row r="499" spans="2:14">
      <c r="B499" t="s">
        <v>426</v>
      </c>
      <c r="C499" t="s">
        <v>463</v>
      </c>
    </row>
    <row r="500" spans="2:14">
      <c r="B500" t="s">
        <v>357</v>
      </c>
      <c r="C500" t="s">
        <v>358</v>
      </c>
    </row>
    <row r="501" spans="2:14">
      <c r="B501" t="s">
        <v>271</v>
      </c>
      <c r="C501" t="s">
        <v>272</v>
      </c>
    </row>
    <row r="502" spans="2:14">
      <c r="B502" t="s">
        <v>437</v>
      </c>
      <c r="C502" t="s">
        <v>474</v>
      </c>
    </row>
    <row r="503" spans="2:14">
      <c r="B503" t="s">
        <v>450</v>
      </c>
      <c r="C503" t="s">
        <v>486</v>
      </c>
    </row>
    <row r="504" spans="2:14">
      <c r="B504" t="s">
        <v>323</v>
      </c>
      <c r="C504" t="s">
        <v>324</v>
      </c>
    </row>
    <row r="505" spans="2:14">
      <c r="B505" t="s">
        <v>373</v>
      </c>
      <c r="C505" t="s">
        <v>374</v>
      </c>
    </row>
    <row r="506" spans="2:14">
      <c r="B506" t="s">
        <v>1386</v>
      </c>
      <c r="C506" t="s">
        <v>1387</v>
      </c>
    </row>
    <row r="507" spans="2:14">
      <c r="B507" t="s">
        <v>1388</v>
      </c>
      <c r="C507" t="s">
        <v>1389</v>
      </c>
    </row>
    <row r="508" spans="2:14">
      <c r="B508" t="s">
        <v>1390</v>
      </c>
      <c r="C508" t="s">
        <v>1391</v>
      </c>
    </row>
    <row r="509" spans="2:14">
      <c r="B509" t="s">
        <v>1392</v>
      </c>
      <c r="C509" t="s">
        <v>1393</v>
      </c>
    </row>
    <row r="510" spans="2:14">
      <c r="B510" t="s">
        <v>1394</v>
      </c>
      <c r="C510" t="s">
        <v>1395</v>
      </c>
    </row>
    <row r="511" spans="2:14">
      <c r="B511" t="s">
        <v>103</v>
      </c>
      <c r="C511" t="s">
        <v>104</v>
      </c>
      <c r="D511" t="s">
        <v>2472</v>
      </c>
      <c r="E511" t="s">
        <v>2537</v>
      </c>
      <c r="F511" t="s">
        <v>2480</v>
      </c>
      <c r="H511" t="s">
        <v>2538</v>
      </c>
      <c r="I511" t="s">
        <v>2539</v>
      </c>
      <c r="J511" t="s">
        <v>2477</v>
      </c>
      <c r="L511" t="s">
        <v>2477</v>
      </c>
      <c r="N511" t="s">
        <v>2477</v>
      </c>
    </row>
    <row r="512" spans="2:14">
      <c r="B512" t="s">
        <v>105</v>
      </c>
      <c r="C512" t="s">
        <v>106</v>
      </c>
      <c r="D512" t="s">
        <v>2472</v>
      </c>
      <c r="E512" t="s">
        <v>2537</v>
      </c>
      <c r="F512" t="s">
        <v>2480</v>
      </c>
      <c r="H512" t="s">
        <v>2540</v>
      </c>
      <c r="I512" t="s">
        <v>2541</v>
      </c>
      <c r="J512" t="s">
        <v>2477</v>
      </c>
      <c r="L512" t="s">
        <v>2477</v>
      </c>
      <c r="N512" t="s">
        <v>2477</v>
      </c>
    </row>
    <row r="513" spans="2:14">
      <c r="B513" t="s">
        <v>107</v>
      </c>
      <c r="C513" t="s">
        <v>108</v>
      </c>
      <c r="D513" t="s">
        <v>2472</v>
      </c>
      <c r="E513" t="s">
        <v>2542</v>
      </c>
      <c r="F513" t="s">
        <v>2480</v>
      </c>
      <c r="I513" t="s">
        <v>2543</v>
      </c>
      <c r="J513" t="s">
        <v>2499</v>
      </c>
      <c r="K513" t="s">
        <v>2544</v>
      </c>
      <c r="L513" t="s">
        <v>2477</v>
      </c>
    </row>
    <row r="514" spans="2:14">
      <c r="B514" t="s">
        <v>109</v>
      </c>
      <c r="C514" t="s">
        <v>110</v>
      </c>
      <c r="D514" t="s">
        <v>2472</v>
      </c>
      <c r="E514" t="s">
        <v>2545</v>
      </c>
      <c r="F514" t="s">
        <v>2480</v>
      </c>
      <c r="I514" t="s">
        <v>2546</v>
      </c>
      <c r="J514" t="s">
        <v>2499</v>
      </c>
      <c r="K514" t="s">
        <v>2547</v>
      </c>
      <c r="L514" t="s">
        <v>2477</v>
      </c>
    </row>
    <row r="515" spans="2:14">
      <c r="B515" t="s">
        <v>111</v>
      </c>
      <c r="C515" t="s">
        <v>112</v>
      </c>
      <c r="D515" t="s">
        <v>2548</v>
      </c>
      <c r="E515" t="s">
        <v>2549</v>
      </c>
      <c r="F515" t="s">
        <v>2480</v>
      </c>
    </row>
    <row r="516" spans="2:14">
      <c r="B516" t="s">
        <v>299</v>
      </c>
      <c r="C516" t="s">
        <v>300</v>
      </c>
      <c r="D516" t="s">
        <v>2548</v>
      </c>
      <c r="E516" t="s">
        <v>2549</v>
      </c>
      <c r="F516" t="s">
        <v>2480</v>
      </c>
    </row>
    <row r="517" spans="2:14">
      <c r="B517" t="s">
        <v>113</v>
      </c>
      <c r="C517" t="s">
        <v>114</v>
      </c>
      <c r="D517" t="s">
        <v>2472</v>
      </c>
      <c r="E517" t="s">
        <v>2506</v>
      </c>
      <c r="F517" t="s">
        <v>2480</v>
      </c>
      <c r="I517" t="s">
        <v>2550</v>
      </c>
      <c r="J517" t="s">
        <v>2477</v>
      </c>
    </row>
    <row r="518" spans="2:14">
      <c r="B518" t="s">
        <v>115</v>
      </c>
      <c r="C518" t="s">
        <v>116</v>
      </c>
      <c r="D518" t="s">
        <v>2472</v>
      </c>
      <c r="E518" t="s">
        <v>2506</v>
      </c>
      <c r="F518" t="s">
        <v>2480</v>
      </c>
      <c r="I518" t="s">
        <v>2546</v>
      </c>
      <c r="J518" t="s">
        <v>2477</v>
      </c>
      <c r="K518" t="s">
        <v>2475</v>
      </c>
      <c r="L518" t="s">
        <v>2477</v>
      </c>
      <c r="N518" t="s">
        <v>2477</v>
      </c>
    </row>
    <row r="519" spans="2:14">
      <c r="B519" t="s">
        <v>117</v>
      </c>
      <c r="C519" t="s">
        <v>118</v>
      </c>
      <c r="D519" t="s">
        <v>2472</v>
      </c>
      <c r="E519" t="s">
        <v>2506</v>
      </c>
      <c r="F519" t="s">
        <v>2480</v>
      </c>
      <c r="I519" t="s">
        <v>2507</v>
      </c>
      <c r="J519" t="s">
        <v>2477</v>
      </c>
      <c r="K519" t="s">
        <v>2520</v>
      </c>
      <c r="L519" t="s">
        <v>2477</v>
      </c>
      <c r="N519" t="s">
        <v>2477</v>
      </c>
    </row>
    <row r="520" spans="2:14">
      <c r="B520" t="s">
        <v>119</v>
      </c>
      <c r="C520" t="s">
        <v>120</v>
      </c>
      <c r="D520" t="s">
        <v>2472</v>
      </c>
      <c r="E520" t="s">
        <v>2551</v>
      </c>
      <c r="F520" t="s">
        <v>2480</v>
      </c>
      <c r="I520" t="s">
        <v>2522</v>
      </c>
      <c r="J520" t="s">
        <v>2477</v>
      </c>
      <c r="K520" t="s">
        <v>2475</v>
      </c>
      <c r="L520" t="s">
        <v>2477</v>
      </c>
      <c r="N520" t="s">
        <v>2477</v>
      </c>
    </row>
    <row r="521" spans="2:14">
      <c r="B521" t="s">
        <v>121</v>
      </c>
      <c r="C521" t="s">
        <v>122</v>
      </c>
      <c r="D521" t="s">
        <v>2472</v>
      </c>
      <c r="E521" t="s">
        <v>2551</v>
      </c>
      <c r="F521" t="s">
        <v>2480</v>
      </c>
      <c r="I521" t="s">
        <v>2510</v>
      </c>
      <c r="J521" t="s">
        <v>2477</v>
      </c>
      <c r="K521" t="s">
        <v>2475</v>
      </c>
      <c r="L521" t="s">
        <v>2477</v>
      </c>
      <c r="N521" t="s">
        <v>2477</v>
      </c>
    </row>
    <row r="522" spans="2:14">
      <c r="B522" t="s">
        <v>123</v>
      </c>
      <c r="C522" t="s">
        <v>124</v>
      </c>
      <c r="D522" t="s">
        <v>2472</v>
      </c>
      <c r="E522" t="s">
        <v>2551</v>
      </c>
      <c r="F522" t="s">
        <v>2480</v>
      </c>
      <c r="I522" t="s">
        <v>2522</v>
      </c>
      <c r="J522" t="s">
        <v>2477</v>
      </c>
      <c r="K522" t="s">
        <v>2475</v>
      </c>
      <c r="L522" t="s">
        <v>2477</v>
      </c>
      <c r="N522" t="s">
        <v>2477</v>
      </c>
    </row>
    <row r="523" spans="2:14">
      <c r="B523" t="s">
        <v>125</v>
      </c>
      <c r="C523" t="s">
        <v>126</v>
      </c>
      <c r="D523" t="s">
        <v>2472</v>
      </c>
      <c r="E523" t="s">
        <v>2551</v>
      </c>
      <c r="F523" t="s">
        <v>2480</v>
      </c>
      <c r="I523" t="s">
        <v>2552</v>
      </c>
      <c r="J523" t="s">
        <v>2477</v>
      </c>
      <c r="K523" t="s">
        <v>2520</v>
      </c>
      <c r="L523" t="s">
        <v>2477</v>
      </c>
      <c r="M523" t="s">
        <v>2505</v>
      </c>
      <c r="N523" t="s">
        <v>2477</v>
      </c>
    </row>
    <row r="524" spans="2:14">
      <c r="B524" t="s">
        <v>127</v>
      </c>
      <c r="C524" t="s">
        <v>128</v>
      </c>
      <c r="D524" t="s">
        <v>2472</v>
      </c>
      <c r="F524" t="s">
        <v>2480</v>
      </c>
    </row>
    <row r="525" spans="2:14">
      <c r="B525" t="s">
        <v>129</v>
      </c>
      <c r="C525" t="s">
        <v>130</v>
      </c>
      <c r="D525" t="s">
        <v>2472</v>
      </c>
      <c r="E525" t="s">
        <v>2509</v>
      </c>
      <c r="F525" t="s">
        <v>2480</v>
      </c>
      <c r="I525" t="s">
        <v>2553</v>
      </c>
      <c r="J525" t="s">
        <v>2477</v>
      </c>
      <c r="K525" t="s">
        <v>2518</v>
      </c>
      <c r="L525" t="s">
        <v>2477</v>
      </c>
    </row>
    <row r="526" spans="2:14">
      <c r="B526" t="s">
        <v>131</v>
      </c>
      <c r="C526" t="s">
        <v>132</v>
      </c>
      <c r="D526" t="s">
        <v>2472</v>
      </c>
      <c r="E526" t="s">
        <v>2509</v>
      </c>
      <c r="F526" t="s">
        <v>2480</v>
      </c>
      <c r="I526" t="s">
        <v>2554</v>
      </c>
      <c r="J526" t="s">
        <v>2499</v>
      </c>
      <c r="K526" t="s">
        <v>2555</v>
      </c>
      <c r="L526" t="s">
        <v>2477</v>
      </c>
    </row>
    <row r="527" spans="2:14">
      <c r="B527" t="s">
        <v>133</v>
      </c>
      <c r="C527" t="s">
        <v>134</v>
      </c>
      <c r="D527" t="s">
        <v>2472</v>
      </c>
      <c r="E527" t="s">
        <v>2509</v>
      </c>
      <c r="F527" t="s">
        <v>2480</v>
      </c>
      <c r="I527" t="s">
        <v>2519</v>
      </c>
      <c r="J527" t="s">
        <v>2477</v>
      </c>
      <c r="K527" t="s">
        <v>2556</v>
      </c>
      <c r="L527" t="s">
        <v>2477</v>
      </c>
    </row>
    <row r="528" spans="2:14">
      <c r="B528" t="s">
        <v>301</v>
      </c>
      <c r="C528" t="s">
        <v>302</v>
      </c>
      <c r="D528" t="s">
        <v>2472</v>
      </c>
      <c r="E528" t="s">
        <v>2509</v>
      </c>
      <c r="F528" t="s">
        <v>2480</v>
      </c>
      <c r="I528" t="s">
        <v>2521</v>
      </c>
      <c r="J528" t="s">
        <v>2499</v>
      </c>
      <c r="K528" t="s">
        <v>2518</v>
      </c>
      <c r="L528" t="s">
        <v>2477</v>
      </c>
    </row>
    <row r="529" spans="2:12">
      <c r="B529" t="s">
        <v>135</v>
      </c>
      <c r="C529" t="s">
        <v>136</v>
      </c>
      <c r="D529" t="s">
        <v>2472</v>
      </c>
      <c r="E529" t="s">
        <v>2509</v>
      </c>
      <c r="F529" t="s">
        <v>2480</v>
      </c>
      <c r="I529" t="s">
        <v>2557</v>
      </c>
      <c r="J529" t="s">
        <v>2499</v>
      </c>
      <c r="K529" t="s">
        <v>2544</v>
      </c>
      <c r="L529" t="s">
        <v>2477</v>
      </c>
    </row>
    <row r="530" spans="2:12">
      <c r="B530" t="s">
        <v>137</v>
      </c>
      <c r="C530" t="s">
        <v>138</v>
      </c>
      <c r="D530" t="s">
        <v>2472</v>
      </c>
      <c r="E530" t="s">
        <v>2509</v>
      </c>
      <c r="F530" t="s">
        <v>2480</v>
      </c>
      <c r="I530" t="s">
        <v>2558</v>
      </c>
      <c r="J530" t="s">
        <v>2499</v>
      </c>
      <c r="K530" t="s">
        <v>2511</v>
      </c>
      <c r="L530" t="s">
        <v>2477</v>
      </c>
    </row>
    <row r="531" spans="2:12">
      <c r="B531" t="s">
        <v>139</v>
      </c>
      <c r="C531" t="s">
        <v>140</v>
      </c>
      <c r="D531" t="s">
        <v>2472</v>
      </c>
      <c r="E531" t="s">
        <v>2509</v>
      </c>
      <c r="F531" t="s">
        <v>2480</v>
      </c>
      <c r="I531" t="s">
        <v>2559</v>
      </c>
      <c r="J531" t="s">
        <v>2499</v>
      </c>
      <c r="K531" t="s">
        <v>2489</v>
      </c>
      <c r="L531" t="s">
        <v>2477</v>
      </c>
    </row>
    <row r="532" spans="2:12">
      <c r="B532" t="s">
        <v>141</v>
      </c>
      <c r="C532" t="s">
        <v>142</v>
      </c>
      <c r="D532" t="s">
        <v>2472</v>
      </c>
      <c r="E532" t="s">
        <v>2509</v>
      </c>
      <c r="F532" t="s">
        <v>2480</v>
      </c>
      <c r="I532" t="s">
        <v>2522</v>
      </c>
      <c r="J532" t="s">
        <v>2477</v>
      </c>
      <c r="K532" t="s">
        <v>2520</v>
      </c>
      <c r="L532" t="s">
        <v>2477</v>
      </c>
    </row>
    <row r="533" spans="2:12">
      <c r="B533" t="s">
        <v>143</v>
      </c>
      <c r="C533" t="s">
        <v>144</v>
      </c>
      <c r="D533" t="s">
        <v>2472</v>
      </c>
      <c r="E533" t="s">
        <v>2509</v>
      </c>
      <c r="F533" t="s">
        <v>2480</v>
      </c>
      <c r="I533" t="s">
        <v>2521</v>
      </c>
      <c r="J533" t="s">
        <v>2477</v>
      </c>
      <c r="K533" t="s">
        <v>2518</v>
      </c>
      <c r="L533" t="s">
        <v>2477</v>
      </c>
    </row>
    <row r="534" spans="2:12">
      <c r="B534" t="s">
        <v>145</v>
      </c>
      <c r="C534" t="s">
        <v>146</v>
      </c>
      <c r="D534" t="s">
        <v>2472</v>
      </c>
      <c r="E534" t="s">
        <v>2509</v>
      </c>
      <c r="F534" t="s">
        <v>2480</v>
      </c>
      <c r="I534" t="s">
        <v>2560</v>
      </c>
      <c r="J534" t="s">
        <v>2477</v>
      </c>
      <c r="K534" t="s">
        <v>2518</v>
      </c>
      <c r="L534" t="s">
        <v>2477</v>
      </c>
    </row>
    <row r="535" spans="2:12">
      <c r="B535" t="s">
        <v>147</v>
      </c>
      <c r="C535" t="s">
        <v>148</v>
      </c>
      <c r="D535" t="s">
        <v>2472</v>
      </c>
      <c r="E535" t="s">
        <v>2509</v>
      </c>
      <c r="F535" t="s">
        <v>2480</v>
      </c>
      <c r="I535" t="s">
        <v>2507</v>
      </c>
      <c r="J535" t="s">
        <v>2499</v>
      </c>
      <c r="K535" t="s">
        <v>2475</v>
      </c>
    </row>
    <row r="536" spans="2:12">
      <c r="B536" t="s">
        <v>1396</v>
      </c>
      <c r="C536" t="s">
        <v>1397</v>
      </c>
    </row>
    <row r="537" spans="2:12">
      <c r="B537" t="s">
        <v>1398</v>
      </c>
      <c r="C537" t="s">
        <v>1399</v>
      </c>
    </row>
    <row r="538" spans="2:12">
      <c r="B538" t="s">
        <v>1400</v>
      </c>
      <c r="C538" t="s">
        <v>1401</v>
      </c>
    </row>
    <row r="539" spans="2:12">
      <c r="B539" t="s">
        <v>1402</v>
      </c>
      <c r="C539" t="s">
        <v>1403</v>
      </c>
    </row>
    <row r="540" spans="2:12">
      <c r="B540" t="s">
        <v>544</v>
      </c>
      <c r="C540" t="s">
        <v>545</v>
      </c>
      <c r="E540" t="s">
        <v>2484</v>
      </c>
      <c r="F540" t="s">
        <v>2480</v>
      </c>
      <c r="I540" t="s">
        <v>2512</v>
      </c>
      <c r="J540" t="s">
        <v>2499</v>
      </c>
    </row>
    <row r="541" spans="2:12">
      <c r="B541" t="s">
        <v>1404</v>
      </c>
      <c r="C541" t="s">
        <v>1405</v>
      </c>
    </row>
    <row r="542" spans="2:12">
      <c r="B542" t="s">
        <v>1406</v>
      </c>
      <c r="C542" t="s">
        <v>1407</v>
      </c>
    </row>
    <row r="543" spans="2:12">
      <c r="B543" t="s">
        <v>149</v>
      </c>
      <c r="C543" t="s">
        <v>150</v>
      </c>
    </row>
    <row r="544" spans="2:12">
      <c r="B544" t="s">
        <v>1408</v>
      </c>
      <c r="C544" t="s">
        <v>1409</v>
      </c>
    </row>
    <row r="545" spans="2:14">
      <c r="B545" t="s">
        <v>1410</v>
      </c>
      <c r="C545" t="s">
        <v>1411</v>
      </c>
    </row>
    <row r="546" spans="2:14">
      <c r="B546" t="s">
        <v>151</v>
      </c>
      <c r="C546" t="s">
        <v>152</v>
      </c>
      <c r="E546" t="s">
        <v>2561</v>
      </c>
      <c r="F546" t="s">
        <v>2480</v>
      </c>
      <c r="I546" t="s">
        <v>2512</v>
      </c>
      <c r="J546" t="s">
        <v>2477</v>
      </c>
    </row>
    <row r="547" spans="2:14">
      <c r="B547" t="s">
        <v>153</v>
      </c>
      <c r="C547" t="s">
        <v>154</v>
      </c>
      <c r="E547" t="s">
        <v>2562</v>
      </c>
      <c r="F547" t="s">
        <v>2480</v>
      </c>
      <c r="I547" t="s">
        <v>2546</v>
      </c>
      <c r="J547" t="s">
        <v>2477</v>
      </c>
      <c r="K547" t="s">
        <v>2489</v>
      </c>
      <c r="L547" t="s">
        <v>2477</v>
      </c>
      <c r="N547" t="s">
        <v>2477</v>
      </c>
    </row>
    <row r="548" spans="2:14">
      <c r="B548" t="s">
        <v>155</v>
      </c>
      <c r="C548" t="s">
        <v>156</v>
      </c>
      <c r="E548" t="s">
        <v>2506</v>
      </c>
      <c r="F548" t="s">
        <v>2480</v>
      </c>
      <c r="H548" t="s">
        <v>2505</v>
      </c>
      <c r="I548" t="s">
        <v>2563</v>
      </c>
      <c r="J548" t="s">
        <v>2477</v>
      </c>
    </row>
    <row r="549" spans="2:14">
      <c r="B549" t="s">
        <v>1412</v>
      </c>
      <c r="C549" t="s">
        <v>1413</v>
      </c>
    </row>
    <row r="550" spans="2:14">
      <c r="B550" t="s">
        <v>1414</v>
      </c>
      <c r="C550" t="s">
        <v>1415</v>
      </c>
    </row>
    <row r="551" spans="2:14">
      <c r="B551" t="s">
        <v>157</v>
      </c>
      <c r="C551" t="s">
        <v>158</v>
      </c>
      <c r="E551" t="s">
        <v>2506</v>
      </c>
      <c r="F551" t="s">
        <v>2480</v>
      </c>
      <c r="I551" t="s">
        <v>2519</v>
      </c>
      <c r="J551" t="s">
        <v>2477</v>
      </c>
      <c r="K551" t="s">
        <v>2520</v>
      </c>
      <c r="L551" t="s">
        <v>2477</v>
      </c>
      <c r="N551" t="s">
        <v>2477</v>
      </c>
    </row>
    <row r="552" spans="2:14">
      <c r="B552" t="s">
        <v>159</v>
      </c>
      <c r="C552" t="s">
        <v>160</v>
      </c>
    </row>
    <row r="553" spans="2:14">
      <c r="B553" t="s">
        <v>161</v>
      </c>
      <c r="C553" t="s">
        <v>162</v>
      </c>
    </row>
    <row r="554" spans="2:14">
      <c r="B554" t="s">
        <v>163</v>
      </c>
      <c r="C554" t="s">
        <v>164</v>
      </c>
    </row>
    <row r="555" spans="2:14">
      <c r="B555" t="s">
        <v>165</v>
      </c>
      <c r="C555" t="s">
        <v>166</v>
      </c>
    </row>
    <row r="556" spans="2:14">
      <c r="B556" t="s">
        <v>167</v>
      </c>
      <c r="C556" t="s">
        <v>168</v>
      </c>
      <c r="E556" t="s">
        <v>2509</v>
      </c>
      <c r="F556" t="s">
        <v>2480</v>
      </c>
      <c r="H556" t="s">
        <v>2564</v>
      </c>
      <c r="I556" t="s">
        <v>2513</v>
      </c>
      <c r="J556" t="s">
        <v>2477</v>
      </c>
      <c r="K556" t="s">
        <v>2505</v>
      </c>
      <c r="L556" t="s">
        <v>2477</v>
      </c>
      <c r="N556" t="s">
        <v>2477</v>
      </c>
    </row>
    <row r="557" spans="2:14">
      <c r="B557" t="s">
        <v>167</v>
      </c>
      <c r="C557" t="s">
        <v>168</v>
      </c>
    </row>
    <row r="558" spans="2:14">
      <c r="B558" t="s">
        <v>1416</v>
      </c>
      <c r="C558" t="s">
        <v>1417</v>
      </c>
    </row>
    <row r="559" spans="2:14">
      <c r="B559" t="s">
        <v>169</v>
      </c>
      <c r="C559" t="s">
        <v>170</v>
      </c>
      <c r="E559" t="s">
        <v>2509</v>
      </c>
      <c r="F559" t="s">
        <v>2480</v>
      </c>
      <c r="I559" t="s">
        <v>2565</v>
      </c>
      <c r="J559" t="s">
        <v>2499</v>
      </c>
      <c r="K559" t="s">
        <v>2544</v>
      </c>
      <c r="L559" t="s">
        <v>2477</v>
      </c>
      <c r="M559" t="s">
        <v>2476</v>
      </c>
      <c r="N559" t="s">
        <v>2477</v>
      </c>
    </row>
    <row r="560" spans="2:14">
      <c r="B560" t="s">
        <v>171</v>
      </c>
      <c r="C560" t="s">
        <v>546</v>
      </c>
      <c r="E560" t="s">
        <v>2509</v>
      </c>
      <c r="F560" t="s">
        <v>2480</v>
      </c>
      <c r="I560" t="s">
        <v>2566</v>
      </c>
      <c r="J560" t="s">
        <v>2477</v>
      </c>
      <c r="K560" t="s">
        <v>2567</v>
      </c>
      <c r="L560" t="s">
        <v>2477</v>
      </c>
      <c r="N560" t="s">
        <v>2477</v>
      </c>
    </row>
    <row r="561" spans="2:14">
      <c r="B561" t="s">
        <v>172</v>
      </c>
      <c r="C561" t="s">
        <v>173</v>
      </c>
      <c r="E561" t="s">
        <v>2562</v>
      </c>
      <c r="F561" t="s">
        <v>2480</v>
      </c>
      <c r="I561" t="s">
        <v>2546</v>
      </c>
      <c r="J561" t="s">
        <v>2477</v>
      </c>
      <c r="K561" t="s">
        <v>2475</v>
      </c>
      <c r="L561" t="s">
        <v>2477</v>
      </c>
      <c r="M561" t="s">
        <v>2505</v>
      </c>
      <c r="N561" t="s">
        <v>2477</v>
      </c>
    </row>
    <row r="562" spans="2:14">
      <c r="B562" t="s">
        <v>174</v>
      </c>
      <c r="C562" t="s">
        <v>175</v>
      </c>
      <c r="E562" t="s">
        <v>2562</v>
      </c>
      <c r="F562" t="s">
        <v>2480</v>
      </c>
      <c r="I562" t="s">
        <v>2517</v>
      </c>
      <c r="J562" t="s">
        <v>2477</v>
      </c>
      <c r="K562" t="s">
        <v>2475</v>
      </c>
      <c r="L562" t="s">
        <v>2477</v>
      </c>
      <c r="M562" t="s">
        <v>2505</v>
      </c>
      <c r="N562" t="s">
        <v>2477</v>
      </c>
    </row>
    <row r="563" spans="2:14">
      <c r="B563" t="s">
        <v>176</v>
      </c>
      <c r="C563" t="s">
        <v>177</v>
      </c>
      <c r="E563" t="s">
        <v>2562</v>
      </c>
      <c r="F563" t="s">
        <v>2480</v>
      </c>
      <c r="I563" t="s">
        <v>2552</v>
      </c>
      <c r="J563" t="s">
        <v>2477</v>
      </c>
      <c r="K563" t="s">
        <v>2475</v>
      </c>
      <c r="L563" t="s">
        <v>2477</v>
      </c>
      <c r="M563" t="s">
        <v>2505</v>
      </c>
      <c r="N563" t="s">
        <v>2477</v>
      </c>
    </row>
    <row r="564" spans="2:14">
      <c r="B564" t="s">
        <v>178</v>
      </c>
      <c r="C564" t="s">
        <v>179</v>
      </c>
      <c r="E564" t="s">
        <v>2562</v>
      </c>
      <c r="F564" t="s">
        <v>2480</v>
      </c>
      <c r="I564" t="s">
        <v>2552</v>
      </c>
      <c r="J564" t="s">
        <v>2477</v>
      </c>
      <c r="K564" t="s">
        <v>2475</v>
      </c>
      <c r="L564" t="s">
        <v>2477</v>
      </c>
      <c r="M564" t="s">
        <v>2505</v>
      </c>
      <c r="N564" t="s">
        <v>2477</v>
      </c>
    </row>
    <row r="565" spans="2:14">
      <c r="B565" t="s">
        <v>180</v>
      </c>
      <c r="C565" t="s">
        <v>181</v>
      </c>
      <c r="E565" t="s">
        <v>2562</v>
      </c>
      <c r="F565" t="s">
        <v>2480</v>
      </c>
      <c r="I565" t="s">
        <v>2552</v>
      </c>
      <c r="J565" t="s">
        <v>2477</v>
      </c>
      <c r="K565" t="s">
        <v>2475</v>
      </c>
      <c r="L565" t="s">
        <v>2477</v>
      </c>
      <c r="M565" t="s">
        <v>2505</v>
      </c>
      <c r="N565" t="s">
        <v>2477</v>
      </c>
    </row>
    <row r="566" spans="2:14">
      <c r="B566" t="s">
        <v>182</v>
      </c>
      <c r="C566" t="s">
        <v>183</v>
      </c>
      <c r="E566" t="s">
        <v>2562</v>
      </c>
      <c r="F566" t="s">
        <v>2480</v>
      </c>
      <c r="I566" t="s">
        <v>2517</v>
      </c>
      <c r="J566" t="s">
        <v>2477</v>
      </c>
      <c r="K566" t="s">
        <v>2475</v>
      </c>
      <c r="L566" t="s">
        <v>2477</v>
      </c>
      <c r="M566" t="s">
        <v>2505</v>
      </c>
      <c r="N566" t="s">
        <v>2477</v>
      </c>
    </row>
    <row r="567" spans="2:14">
      <c r="B567" t="s">
        <v>184</v>
      </c>
      <c r="C567" t="s">
        <v>185</v>
      </c>
      <c r="E567" t="s">
        <v>2562</v>
      </c>
      <c r="F567" t="s">
        <v>2480</v>
      </c>
      <c r="I567" t="s">
        <v>2552</v>
      </c>
      <c r="J567" t="s">
        <v>2477</v>
      </c>
      <c r="K567" t="s">
        <v>2475</v>
      </c>
      <c r="L567" t="s">
        <v>2477</v>
      </c>
      <c r="M567" t="s">
        <v>2505</v>
      </c>
      <c r="N567" t="s">
        <v>2477</v>
      </c>
    </row>
    <row r="568" spans="2:14">
      <c r="B568" t="s">
        <v>186</v>
      </c>
      <c r="C568" t="s">
        <v>187</v>
      </c>
      <c r="E568" t="s">
        <v>2562</v>
      </c>
      <c r="F568" t="s">
        <v>2480</v>
      </c>
      <c r="I568" t="s">
        <v>2552</v>
      </c>
      <c r="J568" t="s">
        <v>2477</v>
      </c>
      <c r="K568" t="s">
        <v>2475</v>
      </c>
      <c r="L568" t="s">
        <v>2477</v>
      </c>
      <c r="M568" t="s">
        <v>2505</v>
      </c>
      <c r="N568" t="s">
        <v>2477</v>
      </c>
    </row>
    <row r="569" spans="2:14">
      <c r="B569" t="s">
        <v>188</v>
      </c>
      <c r="C569" t="s">
        <v>189</v>
      </c>
      <c r="E569" t="s">
        <v>2562</v>
      </c>
      <c r="F569" t="s">
        <v>2480</v>
      </c>
      <c r="I569" t="s">
        <v>2552</v>
      </c>
      <c r="J569" t="s">
        <v>2477</v>
      </c>
    </row>
    <row r="570" spans="2:14">
      <c r="B570" t="s">
        <v>190</v>
      </c>
      <c r="C570" t="s">
        <v>191</v>
      </c>
      <c r="E570" t="s">
        <v>2562</v>
      </c>
      <c r="F570" t="s">
        <v>2480</v>
      </c>
      <c r="I570" t="s">
        <v>2568</v>
      </c>
      <c r="J570" t="s">
        <v>2477</v>
      </c>
    </row>
    <row r="571" spans="2:14">
      <c r="B571" t="s">
        <v>192</v>
      </c>
      <c r="C571" t="s">
        <v>193</v>
      </c>
      <c r="E571" t="s">
        <v>2562</v>
      </c>
      <c r="F571" t="s">
        <v>2480</v>
      </c>
      <c r="I571" t="s">
        <v>2546</v>
      </c>
      <c r="J571" t="s">
        <v>2477</v>
      </c>
      <c r="K571" t="s">
        <v>2475</v>
      </c>
      <c r="L571" t="s">
        <v>2477</v>
      </c>
      <c r="M571" t="s">
        <v>2505</v>
      </c>
      <c r="N571" t="s">
        <v>2477</v>
      </c>
    </row>
    <row r="572" spans="2:14">
      <c r="B572" t="s">
        <v>194</v>
      </c>
      <c r="C572" t="s">
        <v>195</v>
      </c>
      <c r="E572" t="s">
        <v>2562</v>
      </c>
      <c r="F572" t="s">
        <v>2480</v>
      </c>
      <c r="I572" t="s">
        <v>2569</v>
      </c>
      <c r="J572" t="s">
        <v>2534</v>
      </c>
      <c r="K572" t="s">
        <v>2505</v>
      </c>
      <c r="L572" t="s">
        <v>2534</v>
      </c>
    </row>
    <row r="573" spans="2:14">
      <c r="B573" t="s">
        <v>196</v>
      </c>
      <c r="C573" t="s">
        <v>197</v>
      </c>
      <c r="E573" t="s">
        <v>2497</v>
      </c>
      <c r="F573" t="s">
        <v>2480</v>
      </c>
      <c r="H573" t="s">
        <v>2570</v>
      </c>
      <c r="I573" t="s">
        <v>2571</v>
      </c>
      <c r="J573" t="s">
        <v>2477</v>
      </c>
    </row>
    <row r="574" spans="2:14">
      <c r="B574" t="s">
        <v>198</v>
      </c>
      <c r="C574" t="s">
        <v>199</v>
      </c>
      <c r="E574" t="s">
        <v>2549</v>
      </c>
      <c r="F574" t="s">
        <v>2480</v>
      </c>
      <c r="I574" t="s">
        <v>2572</v>
      </c>
      <c r="J574" t="s">
        <v>2477</v>
      </c>
      <c r="L574" t="s">
        <v>2477</v>
      </c>
      <c r="N574" t="s">
        <v>2477</v>
      </c>
    </row>
    <row r="575" spans="2:14">
      <c r="B575" t="s">
        <v>200</v>
      </c>
      <c r="C575" t="s">
        <v>201</v>
      </c>
      <c r="E575" t="s">
        <v>2573</v>
      </c>
      <c r="F575" t="s">
        <v>2480</v>
      </c>
      <c r="I575" t="s">
        <v>2522</v>
      </c>
      <c r="J575" t="s">
        <v>2499</v>
      </c>
    </row>
    <row r="576" spans="2:14">
      <c r="B576" t="s">
        <v>202</v>
      </c>
      <c r="C576" t="s">
        <v>203</v>
      </c>
      <c r="E576" t="s">
        <v>2523</v>
      </c>
      <c r="F576" t="s">
        <v>2480</v>
      </c>
      <c r="I576" t="s">
        <v>2574</v>
      </c>
      <c r="J576" t="s">
        <v>2575</v>
      </c>
      <c r="K576" t="s">
        <v>2576</v>
      </c>
      <c r="L576" t="s">
        <v>2575</v>
      </c>
      <c r="M576" t="s">
        <v>2577</v>
      </c>
      <c r="N576" t="s">
        <v>2575</v>
      </c>
    </row>
    <row r="577" spans="2:14">
      <c r="B577" t="s">
        <v>303</v>
      </c>
      <c r="C577" t="s">
        <v>304</v>
      </c>
      <c r="E577" t="s">
        <v>2578</v>
      </c>
      <c r="F577" t="s">
        <v>2480</v>
      </c>
      <c r="G577" t="s">
        <v>2470</v>
      </c>
      <c r="H577" t="s">
        <v>2579</v>
      </c>
      <c r="I577" t="s">
        <v>2580</v>
      </c>
      <c r="J577" t="s">
        <v>2477</v>
      </c>
      <c r="L577" t="s">
        <v>2477</v>
      </c>
      <c r="N577" t="s">
        <v>2477</v>
      </c>
    </row>
    <row r="578" spans="2:14">
      <c r="B578" t="s">
        <v>1418</v>
      </c>
      <c r="C578" t="s">
        <v>1419</v>
      </c>
      <c r="F578" t="s">
        <v>2480</v>
      </c>
    </row>
    <row r="579" spans="2:14">
      <c r="B579" t="s">
        <v>204</v>
      </c>
      <c r="C579" t="s">
        <v>205</v>
      </c>
      <c r="E579" t="s">
        <v>2578</v>
      </c>
      <c r="F579" t="s">
        <v>2480</v>
      </c>
      <c r="I579" t="s">
        <v>2581</v>
      </c>
      <c r="J579" t="s">
        <v>2477</v>
      </c>
    </row>
    <row r="580" spans="2:14">
      <c r="B580" t="s">
        <v>1420</v>
      </c>
      <c r="C580" t="s">
        <v>1421</v>
      </c>
      <c r="F580" t="s">
        <v>2480</v>
      </c>
    </row>
    <row r="581" spans="2:14">
      <c r="B581" t="s">
        <v>206</v>
      </c>
      <c r="C581" t="s">
        <v>207</v>
      </c>
      <c r="E581" t="s">
        <v>2578</v>
      </c>
      <c r="F581" t="s">
        <v>2480</v>
      </c>
      <c r="H581" t="s">
        <v>2582</v>
      </c>
      <c r="I581" t="s">
        <v>2583</v>
      </c>
      <c r="J581" t="s">
        <v>2499</v>
      </c>
    </row>
    <row r="582" spans="2:14">
      <c r="B582" t="s">
        <v>305</v>
      </c>
      <c r="C582" t="s">
        <v>306</v>
      </c>
      <c r="E582" t="s">
        <v>2578</v>
      </c>
      <c r="F582" t="s">
        <v>2480</v>
      </c>
      <c r="H582" t="s">
        <v>2584</v>
      </c>
      <c r="I582" t="s">
        <v>2585</v>
      </c>
      <c r="J582" t="s">
        <v>2499</v>
      </c>
    </row>
    <row r="583" spans="2:14">
      <c r="B583" t="s">
        <v>208</v>
      </c>
      <c r="C583" t="s">
        <v>209</v>
      </c>
      <c r="E583" t="s">
        <v>2578</v>
      </c>
      <c r="F583" t="s">
        <v>2480</v>
      </c>
      <c r="G583" t="s">
        <v>2470</v>
      </c>
      <c r="H583" t="s">
        <v>2584</v>
      </c>
      <c r="I583" t="s">
        <v>2585</v>
      </c>
      <c r="J583" t="s">
        <v>2499</v>
      </c>
    </row>
    <row r="584" spans="2:14">
      <c r="B584" t="s">
        <v>210</v>
      </c>
      <c r="C584" t="s">
        <v>211</v>
      </c>
      <c r="E584" t="s">
        <v>2578</v>
      </c>
      <c r="F584" t="s">
        <v>2480</v>
      </c>
      <c r="I584" t="s">
        <v>2586</v>
      </c>
      <c r="J584" t="s">
        <v>2499</v>
      </c>
    </row>
    <row r="585" spans="2:14">
      <c r="B585" t="s">
        <v>212</v>
      </c>
      <c r="C585" t="s">
        <v>213</v>
      </c>
      <c r="E585" t="s">
        <v>2578</v>
      </c>
      <c r="F585" t="s">
        <v>2480</v>
      </c>
      <c r="H585" t="s">
        <v>2582</v>
      </c>
      <c r="I585" t="s">
        <v>2583</v>
      </c>
      <c r="J585" t="s">
        <v>2499</v>
      </c>
    </row>
    <row r="586" spans="2:14">
      <c r="B586" t="s">
        <v>214</v>
      </c>
      <c r="C586" t="s">
        <v>215</v>
      </c>
      <c r="E586" t="s">
        <v>2578</v>
      </c>
      <c r="F586" t="s">
        <v>2480</v>
      </c>
      <c r="I586" t="s">
        <v>2587</v>
      </c>
      <c r="J586" t="s">
        <v>2477</v>
      </c>
    </row>
    <row r="587" spans="2:14">
      <c r="B587" t="s">
        <v>1422</v>
      </c>
      <c r="C587" t="s">
        <v>1423</v>
      </c>
    </row>
    <row r="588" spans="2:14">
      <c r="B588" t="s">
        <v>420</v>
      </c>
      <c r="C588" t="s">
        <v>457</v>
      </c>
      <c r="E588" t="s">
        <v>2578</v>
      </c>
      <c r="F588" t="s">
        <v>2480</v>
      </c>
      <c r="H588" t="s">
        <v>2582</v>
      </c>
      <c r="I588" t="s">
        <v>2583</v>
      </c>
      <c r="J588" t="s">
        <v>2477</v>
      </c>
      <c r="L588" t="s">
        <v>2477</v>
      </c>
      <c r="N588" t="s">
        <v>2477</v>
      </c>
    </row>
    <row r="589" spans="2:14">
      <c r="B589" t="s">
        <v>1424</v>
      </c>
      <c r="C589" t="s">
        <v>1425</v>
      </c>
    </row>
    <row r="590" spans="2:14">
      <c r="B590" t="s">
        <v>1426</v>
      </c>
      <c r="C590" t="s">
        <v>1427</v>
      </c>
    </row>
    <row r="591" spans="2:14">
      <c r="B591" t="s">
        <v>216</v>
      </c>
      <c r="C591" t="s">
        <v>217</v>
      </c>
    </row>
    <row r="592" spans="2:14">
      <c r="B592" t="s">
        <v>218</v>
      </c>
      <c r="C592" t="s">
        <v>219</v>
      </c>
    </row>
    <row r="593" spans="2:14">
      <c r="B593" t="s">
        <v>220</v>
      </c>
      <c r="C593" t="s">
        <v>221</v>
      </c>
    </row>
    <row r="594" spans="2:14">
      <c r="B594" t="s">
        <v>1428</v>
      </c>
      <c r="C594" t="s">
        <v>1429</v>
      </c>
    </row>
    <row r="595" spans="2:14">
      <c r="B595" t="s">
        <v>1430</v>
      </c>
      <c r="C595" t="s">
        <v>1431</v>
      </c>
    </row>
    <row r="596" spans="2:14">
      <c r="B596" t="s">
        <v>1432</v>
      </c>
      <c r="C596" t="s">
        <v>1433</v>
      </c>
    </row>
    <row r="597" spans="2:14">
      <c r="B597" t="s">
        <v>1434</v>
      </c>
      <c r="C597" t="s">
        <v>1435</v>
      </c>
    </row>
    <row r="598" spans="2:14">
      <c r="B598" t="s">
        <v>1436</v>
      </c>
      <c r="C598" t="s">
        <v>1437</v>
      </c>
    </row>
    <row r="599" spans="2:14">
      <c r="B599" t="s">
        <v>273</v>
      </c>
      <c r="C599" t="s">
        <v>274</v>
      </c>
      <c r="E599" t="s">
        <v>2578</v>
      </c>
      <c r="F599" t="s">
        <v>2480</v>
      </c>
      <c r="H599" t="s">
        <v>2582</v>
      </c>
      <c r="I599" t="s">
        <v>2583</v>
      </c>
      <c r="J599" t="s">
        <v>2477</v>
      </c>
      <c r="L599" t="s">
        <v>2477</v>
      </c>
      <c r="N599" t="s">
        <v>2477</v>
      </c>
    </row>
    <row r="600" spans="2:14">
      <c r="B600" t="s">
        <v>273</v>
      </c>
      <c r="C600" t="s">
        <v>274</v>
      </c>
    </row>
    <row r="601" spans="2:14">
      <c r="B601" t="s">
        <v>432</v>
      </c>
      <c r="C601" t="s">
        <v>469</v>
      </c>
      <c r="E601" t="s">
        <v>2578</v>
      </c>
      <c r="F601" t="s">
        <v>2480</v>
      </c>
      <c r="H601" t="s">
        <v>2582</v>
      </c>
      <c r="I601" t="s">
        <v>2583</v>
      </c>
      <c r="J601" t="s">
        <v>2499</v>
      </c>
    </row>
    <row r="602" spans="2:14">
      <c r="B602" t="s">
        <v>432</v>
      </c>
      <c r="C602" t="s">
        <v>469</v>
      </c>
    </row>
    <row r="603" spans="2:14">
      <c r="B603" t="s">
        <v>1438</v>
      </c>
      <c r="C603" t="s">
        <v>1439</v>
      </c>
    </row>
    <row r="604" spans="2:14">
      <c r="B604" t="s">
        <v>1440</v>
      </c>
      <c r="C604" t="s">
        <v>1441</v>
      </c>
    </row>
    <row r="605" spans="2:14">
      <c r="B605" t="s">
        <v>1442</v>
      </c>
      <c r="C605" t="s">
        <v>1443</v>
      </c>
    </row>
    <row r="606" spans="2:14">
      <c r="B606" t="s">
        <v>443</v>
      </c>
      <c r="C606" t="s">
        <v>479</v>
      </c>
      <c r="E606" t="s">
        <v>2578</v>
      </c>
      <c r="F606" t="s">
        <v>2480</v>
      </c>
      <c r="H606" t="s">
        <v>2582</v>
      </c>
      <c r="I606" t="s">
        <v>2583</v>
      </c>
      <c r="J606" t="s">
        <v>2477</v>
      </c>
      <c r="L606" t="s">
        <v>2477</v>
      </c>
      <c r="N606" t="s">
        <v>2477</v>
      </c>
    </row>
    <row r="607" spans="2:14">
      <c r="B607" t="s">
        <v>1444</v>
      </c>
      <c r="C607" t="s">
        <v>1445</v>
      </c>
    </row>
    <row r="608" spans="2:14">
      <c r="B608" t="s">
        <v>446</v>
      </c>
      <c r="C608" t="s">
        <v>482</v>
      </c>
    </row>
    <row r="609" spans="2:14">
      <c r="B609" t="s">
        <v>1446</v>
      </c>
      <c r="C609" t="s">
        <v>1447</v>
      </c>
    </row>
    <row r="610" spans="2:14">
      <c r="B610" t="s">
        <v>222</v>
      </c>
      <c r="C610" t="s">
        <v>223</v>
      </c>
    </row>
    <row r="611" spans="2:14">
      <c r="B611" t="s">
        <v>224</v>
      </c>
      <c r="C611" t="s">
        <v>225</v>
      </c>
      <c r="E611" t="s">
        <v>2506</v>
      </c>
      <c r="F611" t="s">
        <v>2480</v>
      </c>
      <c r="I611" t="s">
        <v>2554</v>
      </c>
      <c r="J611" t="s">
        <v>2477</v>
      </c>
      <c r="K611" t="s">
        <v>2505</v>
      </c>
      <c r="L611" t="s">
        <v>2477</v>
      </c>
      <c r="N611" t="s">
        <v>2477</v>
      </c>
    </row>
    <row r="612" spans="2:14">
      <c r="B612" t="s">
        <v>226</v>
      </c>
      <c r="C612" t="s">
        <v>227</v>
      </c>
      <c r="E612" t="s">
        <v>2509</v>
      </c>
      <c r="F612" t="s">
        <v>2480</v>
      </c>
      <c r="I612" t="s">
        <v>2557</v>
      </c>
      <c r="J612" t="s">
        <v>2477</v>
      </c>
      <c r="K612" t="s">
        <v>2544</v>
      </c>
      <c r="L612" t="s">
        <v>2477</v>
      </c>
      <c r="N612" t="s">
        <v>2477</v>
      </c>
    </row>
    <row r="613" spans="2:14">
      <c r="B613" t="s">
        <v>228</v>
      </c>
      <c r="C613" t="s">
        <v>229</v>
      </c>
      <c r="E613" t="s">
        <v>2588</v>
      </c>
      <c r="F613" t="s">
        <v>2480</v>
      </c>
      <c r="H613" t="s">
        <v>2589</v>
      </c>
      <c r="I613" t="s">
        <v>2590</v>
      </c>
      <c r="J613" t="s">
        <v>2477</v>
      </c>
      <c r="L613" t="s">
        <v>2477</v>
      </c>
      <c r="N613" t="s">
        <v>2477</v>
      </c>
    </row>
    <row r="614" spans="2:14">
      <c r="B614" t="s">
        <v>230</v>
      </c>
      <c r="C614" t="s">
        <v>231</v>
      </c>
      <c r="E614" t="s">
        <v>2562</v>
      </c>
      <c r="F614" t="s">
        <v>2480</v>
      </c>
      <c r="I614" t="s">
        <v>2546</v>
      </c>
      <c r="J614" t="s">
        <v>2477</v>
      </c>
      <c r="K614" t="s">
        <v>2475</v>
      </c>
      <c r="L614" t="s">
        <v>2477</v>
      </c>
      <c r="M614" t="s">
        <v>2505</v>
      </c>
      <c r="N614" t="s">
        <v>2477</v>
      </c>
    </row>
    <row r="615" spans="2:14">
      <c r="B615" t="s">
        <v>232</v>
      </c>
      <c r="C615" t="s">
        <v>233</v>
      </c>
      <c r="E615" t="s">
        <v>2578</v>
      </c>
      <c r="F615" t="s">
        <v>2480</v>
      </c>
      <c r="H615" t="s">
        <v>2591</v>
      </c>
      <c r="I615" t="s">
        <v>2592</v>
      </c>
      <c r="J615" t="s">
        <v>2477</v>
      </c>
      <c r="L615" t="s">
        <v>2477</v>
      </c>
      <c r="N615" t="s">
        <v>2477</v>
      </c>
    </row>
    <row r="616" spans="2:14">
      <c r="B616" t="s">
        <v>307</v>
      </c>
      <c r="C616" t="s">
        <v>308</v>
      </c>
      <c r="E616" t="s">
        <v>2509</v>
      </c>
      <c r="F616" t="s">
        <v>2480</v>
      </c>
      <c r="I616" t="s">
        <v>2593</v>
      </c>
      <c r="J616" t="s">
        <v>2477</v>
      </c>
      <c r="L616" t="s">
        <v>2477</v>
      </c>
      <c r="N616" t="s">
        <v>2477</v>
      </c>
    </row>
    <row r="617" spans="2:14">
      <c r="B617" t="s">
        <v>1448</v>
      </c>
      <c r="C617" t="s">
        <v>1449</v>
      </c>
    </row>
    <row r="618" spans="2:14">
      <c r="B618" t="s">
        <v>325</v>
      </c>
      <c r="C618" t="s">
        <v>326</v>
      </c>
      <c r="E618" t="s">
        <v>2578</v>
      </c>
      <c r="F618" t="s">
        <v>2480</v>
      </c>
      <c r="H618" t="s">
        <v>2594</v>
      </c>
      <c r="I618" t="s">
        <v>2580</v>
      </c>
      <c r="J618" t="s">
        <v>2477</v>
      </c>
      <c r="L618" t="s">
        <v>2477</v>
      </c>
      <c r="N618" t="s">
        <v>2477</v>
      </c>
    </row>
    <row r="619" spans="2:14">
      <c r="B619" t="s">
        <v>234</v>
      </c>
      <c r="C619" t="s">
        <v>547</v>
      </c>
      <c r="E619" t="s">
        <v>2509</v>
      </c>
      <c r="F619" t="s">
        <v>2480</v>
      </c>
      <c r="I619" t="s">
        <v>2595</v>
      </c>
      <c r="J619" t="s">
        <v>2477</v>
      </c>
      <c r="K619" t="s">
        <v>2511</v>
      </c>
      <c r="L619" t="s">
        <v>2477</v>
      </c>
      <c r="N619" t="s">
        <v>2477</v>
      </c>
    </row>
    <row r="620" spans="2:14">
      <c r="B620" t="s">
        <v>235</v>
      </c>
      <c r="C620" t="s">
        <v>548</v>
      </c>
      <c r="E620" t="s">
        <v>2509</v>
      </c>
      <c r="F620" t="s">
        <v>2480</v>
      </c>
      <c r="I620" t="s">
        <v>2559</v>
      </c>
      <c r="J620" t="s">
        <v>2477</v>
      </c>
      <c r="K620" t="s">
        <v>2554</v>
      </c>
      <c r="L620" t="s">
        <v>2477</v>
      </c>
      <c r="N620" t="s">
        <v>2477</v>
      </c>
    </row>
    <row r="621" spans="2:14">
      <c r="B621" t="s">
        <v>236</v>
      </c>
      <c r="C621" t="s">
        <v>549</v>
      </c>
      <c r="E621" t="s">
        <v>2509</v>
      </c>
      <c r="F621" t="s">
        <v>2480</v>
      </c>
      <c r="I621" t="s">
        <v>2596</v>
      </c>
      <c r="J621" t="s">
        <v>2499</v>
      </c>
      <c r="K621" t="s">
        <v>2554</v>
      </c>
    </row>
    <row r="622" spans="2:14">
      <c r="B622" t="s">
        <v>237</v>
      </c>
      <c r="C622" t="s">
        <v>238</v>
      </c>
      <c r="E622" t="s">
        <v>2506</v>
      </c>
      <c r="F622" t="s">
        <v>2480</v>
      </c>
      <c r="I622" t="s">
        <v>2507</v>
      </c>
      <c r="J622" t="s">
        <v>2477</v>
      </c>
      <c r="K622" t="s">
        <v>2520</v>
      </c>
      <c r="L622" t="s">
        <v>2477</v>
      </c>
      <c r="N622" t="s">
        <v>2477</v>
      </c>
    </row>
    <row r="623" spans="2:14">
      <c r="B623" t="s">
        <v>1450</v>
      </c>
      <c r="C623" t="s">
        <v>1451</v>
      </c>
    </row>
    <row r="624" spans="2:14">
      <c r="B624" t="s">
        <v>1452</v>
      </c>
      <c r="C624" t="s">
        <v>1453</v>
      </c>
    </row>
    <row r="625" spans="2:14">
      <c r="B625" t="s">
        <v>1454</v>
      </c>
      <c r="C625" t="s">
        <v>1455</v>
      </c>
      <c r="D625" t="s">
        <v>2472</v>
      </c>
    </row>
    <row r="626" spans="2:14">
      <c r="B626" t="s">
        <v>1456</v>
      </c>
      <c r="C626" t="s">
        <v>1457</v>
      </c>
      <c r="D626" t="s">
        <v>2472</v>
      </c>
    </row>
    <row r="627" spans="2:14">
      <c r="B627" t="s">
        <v>345</v>
      </c>
      <c r="C627" t="s">
        <v>346</v>
      </c>
      <c r="D627" t="s">
        <v>2472</v>
      </c>
      <c r="E627" t="s">
        <v>2597</v>
      </c>
      <c r="F627" t="s">
        <v>2480</v>
      </c>
      <c r="H627" t="s">
        <v>2598</v>
      </c>
      <c r="I627" t="s">
        <v>2563</v>
      </c>
      <c r="J627" t="s">
        <v>2499</v>
      </c>
    </row>
    <row r="628" spans="2:14">
      <c r="B628" t="s">
        <v>347</v>
      </c>
      <c r="C628" t="s">
        <v>348</v>
      </c>
      <c r="D628" t="s">
        <v>2472</v>
      </c>
      <c r="E628" t="s">
        <v>2597</v>
      </c>
      <c r="F628" t="s">
        <v>2480</v>
      </c>
      <c r="H628" t="s">
        <v>2599</v>
      </c>
      <c r="I628" t="s">
        <v>2600</v>
      </c>
      <c r="J628" t="s">
        <v>2499</v>
      </c>
    </row>
    <row r="629" spans="2:14">
      <c r="B629" t="s">
        <v>1458</v>
      </c>
      <c r="C629" t="s">
        <v>1459</v>
      </c>
      <c r="D629" t="s">
        <v>2472</v>
      </c>
    </row>
    <row r="630" spans="2:14">
      <c r="B630" t="s">
        <v>1460</v>
      </c>
      <c r="C630" t="s">
        <v>1461</v>
      </c>
      <c r="D630" t="s">
        <v>2472</v>
      </c>
    </row>
    <row r="631" spans="2:14">
      <c r="B631" t="s">
        <v>1462</v>
      </c>
      <c r="C631" t="s">
        <v>1463</v>
      </c>
      <c r="D631" t="s">
        <v>2472</v>
      </c>
    </row>
    <row r="632" spans="2:14">
      <c r="B632" t="s">
        <v>1464</v>
      </c>
      <c r="C632" t="s">
        <v>1465</v>
      </c>
      <c r="D632" t="s">
        <v>2472</v>
      </c>
    </row>
    <row r="633" spans="2:14">
      <c r="B633" t="s">
        <v>329</v>
      </c>
      <c r="C633" t="s">
        <v>330</v>
      </c>
      <c r="D633" t="s">
        <v>2472</v>
      </c>
      <c r="E633" t="s">
        <v>2578</v>
      </c>
      <c r="F633" t="s">
        <v>2480</v>
      </c>
      <c r="H633" t="s">
        <v>2584</v>
      </c>
      <c r="I633" t="s">
        <v>2585</v>
      </c>
      <c r="J633" t="s">
        <v>2499</v>
      </c>
    </row>
    <row r="634" spans="2:14">
      <c r="B634" t="s">
        <v>327</v>
      </c>
      <c r="C634" t="s">
        <v>328</v>
      </c>
      <c r="D634" t="s">
        <v>2472</v>
      </c>
      <c r="E634" t="s">
        <v>2578</v>
      </c>
      <c r="F634" t="s">
        <v>2480</v>
      </c>
      <c r="I634" t="s">
        <v>2601</v>
      </c>
      <c r="J634" t="s">
        <v>2477</v>
      </c>
    </row>
    <row r="635" spans="2:14">
      <c r="B635" t="s">
        <v>550</v>
      </c>
      <c r="C635" t="s">
        <v>551</v>
      </c>
      <c r="D635" t="s">
        <v>2472</v>
      </c>
      <c r="E635" t="s">
        <v>2602</v>
      </c>
      <c r="F635" t="s">
        <v>2480</v>
      </c>
      <c r="I635" t="s">
        <v>2603</v>
      </c>
      <c r="J635" t="s">
        <v>2477</v>
      </c>
      <c r="L635" t="s">
        <v>2477</v>
      </c>
      <c r="N635" t="s">
        <v>2477</v>
      </c>
    </row>
    <row r="636" spans="2:14">
      <c r="B636" t="s">
        <v>239</v>
      </c>
      <c r="C636" t="s">
        <v>240</v>
      </c>
      <c r="D636" t="s">
        <v>2472</v>
      </c>
      <c r="F636" t="s">
        <v>2480</v>
      </c>
    </row>
    <row r="637" spans="2:14">
      <c r="B637" t="s">
        <v>444</v>
      </c>
      <c r="C637" t="s">
        <v>480</v>
      </c>
      <c r="D637" t="s">
        <v>2472</v>
      </c>
      <c r="E637" t="s">
        <v>2602</v>
      </c>
      <c r="F637" t="s">
        <v>2480</v>
      </c>
      <c r="I637" t="s">
        <v>2552</v>
      </c>
      <c r="J637" t="s">
        <v>2477</v>
      </c>
      <c r="L637" t="s">
        <v>2477</v>
      </c>
      <c r="N637" t="s">
        <v>2477</v>
      </c>
    </row>
    <row r="638" spans="2:14">
      <c r="B638" t="s">
        <v>275</v>
      </c>
      <c r="C638" t="s">
        <v>276</v>
      </c>
      <c r="D638" t="s">
        <v>2472</v>
      </c>
      <c r="E638" t="s">
        <v>2602</v>
      </c>
      <c r="F638" t="s">
        <v>2480</v>
      </c>
      <c r="H638" t="s">
        <v>2604</v>
      </c>
      <c r="I638" t="s">
        <v>2605</v>
      </c>
      <c r="J638" t="s">
        <v>2499</v>
      </c>
    </row>
    <row r="639" spans="2:14">
      <c r="B639" t="s">
        <v>1466</v>
      </c>
      <c r="C639" t="s">
        <v>1467</v>
      </c>
      <c r="D639" t="s">
        <v>2472</v>
      </c>
      <c r="F639" t="s">
        <v>2480</v>
      </c>
    </row>
    <row r="640" spans="2:14">
      <c r="B640" t="s">
        <v>241</v>
      </c>
      <c r="C640" t="s">
        <v>242</v>
      </c>
      <c r="D640" t="s">
        <v>2472</v>
      </c>
      <c r="F640" t="s">
        <v>2480</v>
      </c>
    </row>
    <row r="641" spans="2:6">
      <c r="B641" t="s">
        <v>552</v>
      </c>
      <c r="C641" t="s">
        <v>553</v>
      </c>
      <c r="D641" t="s">
        <v>2472</v>
      </c>
      <c r="F641" t="s">
        <v>2480</v>
      </c>
    </row>
    <row r="642" spans="2:6">
      <c r="B642" t="s">
        <v>554</v>
      </c>
      <c r="C642" t="s">
        <v>555</v>
      </c>
      <c r="D642" t="s">
        <v>2472</v>
      </c>
      <c r="F642" t="s">
        <v>2480</v>
      </c>
    </row>
    <row r="643" spans="2:6">
      <c r="B643" t="s">
        <v>1468</v>
      </c>
      <c r="C643" t="s">
        <v>1469</v>
      </c>
      <c r="D643" t="s">
        <v>2472</v>
      </c>
      <c r="F643" t="s">
        <v>2480</v>
      </c>
    </row>
    <row r="644" spans="2:6">
      <c r="B644" t="s">
        <v>1470</v>
      </c>
      <c r="C644" t="s">
        <v>1471</v>
      </c>
      <c r="D644" t="s">
        <v>2472</v>
      </c>
      <c r="F644" t="s">
        <v>2480</v>
      </c>
    </row>
    <row r="645" spans="2:6">
      <c r="B645" t="s">
        <v>1472</v>
      </c>
      <c r="C645" t="s">
        <v>1473</v>
      </c>
      <c r="D645" t="s">
        <v>2472</v>
      </c>
      <c r="F645" t="s">
        <v>2480</v>
      </c>
    </row>
    <row r="646" spans="2:6">
      <c r="B646" t="s">
        <v>1474</v>
      </c>
      <c r="C646" t="s">
        <v>1475</v>
      </c>
      <c r="D646" t="s">
        <v>2472</v>
      </c>
      <c r="F646" t="s">
        <v>2480</v>
      </c>
    </row>
    <row r="647" spans="2:6">
      <c r="B647" t="s">
        <v>1476</v>
      </c>
      <c r="C647" t="s">
        <v>1477</v>
      </c>
      <c r="D647" t="s">
        <v>2472</v>
      </c>
      <c r="F647" t="s">
        <v>2480</v>
      </c>
    </row>
    <row r="648" spans="2:6">
      <c r="B648" t="s">
        <v>1478</v>
      </c>
      <c r="C648" t="s">
        <v>1479</v>
      </c>
      <c r="D648" t="s">
        <v>2472</v>
      </c>
      <c r="F648" t="s">
        <v>2480</v>
      </c>
    </row>
    <row r="649" spans="2:6">
      <c r="B649" t="s">
        <v>1480</v>
      </c>
      <c r="C649" t="s">
        <v>1481</v>
      </c>
      <c r="D649" t="s">
        <v>2472</v>
      </c>
      <c r="F649" t="s">
        <v>2480</v>
      </c>
    </row>
    <row r="650" spans="2:6">
      <c r="B650" t="s">
        <v>1482</v>
      </c>
      <c r="C650" t="s">
        <v>1483</v>
      </c>
      <c r="D650" t="s">
        <v>2472</v>
      </c>
      <c r="F650" t="s">
        <v>2480</v>
      </c>
    </row>
    <row r="651" spans="2:6">
      <c r="B651" t="s">
        <v>445</v>
      </c>
      <c r="C651" t="s">
        <v>481</v>
      </c>
      <c r="D651" t="s">
        <v>2472</v>
      </c>
      <c r="F651" t="s">
        <v>2480</v>
      </c>
    </row>
    <row r="652" spans="2:6">
      <c r="B652" t="s">
        <v>1484</v>
      </c>
      <c r="C652" t="s">
        <v>1485</v>
      </c>
      <c r="D652" t="s">
        <v>2472</v>
      </c>
      <c r="F652" t="s">
        <v>2480</v>
      </c>
    </row>
    <row r="653" spans="2:6">
      <c r="B653" t="s">
        <v>1486</v>
      </c>
      <c r="C653" t="s">
        <v>1487</v>
      </c>
      <c r="D653" t="s">
        <v>2472</v>
      </c>
      <c r="F653" t="s">
        <v>2480</v>
      </c>
    </row>
    <row r="654" spans="2:6">
      <c r="B654" t="s">
        <v>1488</v>
      </c>
      <c r="C654" t="s">
        <v>1489</v>
      </c>
      <c r="D654" t="s">
        <v>2472</v>
      </c>
      <c r="F654" t="s">
        <v>2480</v>
      </c>
    </row>
    <row r="655" spans="2:6">
      <c r="B655" t="s">
        <v>1490</v>
      </c>
      <c r="C655" t="s">
        <v>1491</v>
      </c>
      <c r="D655" t="s">
        <v>2472</v>
      </c>
      <c r="F655" t="s">
        <v>2480</v>
      </c>
    </row>
    <row r="656" spans="2:6">
      <c r="B656" t="s">
        <v>556</v>
      </c>
      <c r="C656" t="s">
        <v>557</v>
      </c>
      <c r="D656" t="s">
        <v>2472</v>
      </c>
      <c r="F656" t="s">
        <v>2480</v>
      </c>
    </row>
    <row r="657" spans="1:10">
      <c r="B657" t="s">
        <v>558</v>
      </c>
      <c r="C657" t="s">
        <v>559</v>
      </c>
      <c r="D657" t="s">
        <v>2472</v>
      </c>
      <c r="E657" t="s">
        <v>2606</v>
      </c>
      <c r="F657" t="s">
        <v>2480</v>
      </c>
      <c r="G657" t="s">
        <v>2607</v>
      </c>
      <c r="H657" t="s">
        <v>2582</v>
      </c>
      <c r="I657" t="s">
        <v>2583</v>
      </c>
      <c r="J657" t="s">
        <v>2477</v>
      </c>
    </row>
    <row r="658" spans="1:10">
      <c r="B658" t="s">
        <v>560</v>
      </c>
      <c r="C658" t="s">
        <v>561</v>
      </c>
      <c r="D658" t="s">
        <v>2472</v>
      </c>
      <c r="E658" t="s">
        <v>2608</v>
      </c>
      <c r="F658" t="s">
        <v>2527</v>
      </c>
      <c r="G658" t="s">
        <v>2607</v>
      </c>
      <c r="H658" t="s">
        <v>2475</v>
      </c>
      <c r="I658" t="s">
        <v>2476</v>
      </c>
      <c r="J658" t="s">
        <v>2477</v>
      </c>
    </row>
    <row r="659" spans="1:10">
      <c r="A659" t="s">
        <v>2609</v>
      </c>
      <c r="B659" t="s">
        <v>309</v>
      </c>
      <c r="C659" t="s">
        <v>310</v>
      </c>
      <c r="D659" t="s">
        <v>2472</v>
      </c>
      <c r="E659" t="s">
        <v>2608</v>
      </c>
      <c r="F659" t="s">
        <v>2527</v>
      </c>
      <c r="G659" t="s">
        <v>2607</v>
      </c>
      <c r="H659" t="s">
        <v>2610</v>
      </c>
      <c r="I659" t="s">
        <v>2583</v>
      </c>
      <c r="J659" t="s">
        <v>2477</v>
      </c>
    </row>
    <row r="660" spans="1:10">
      <c r="A660" t="s">
        <v>2611</v>
      </c>
      <c r="B660" t="s">
        <v>311</v>
      </c>
      <c r="C660" t="s">
        <v>312</v>
      </c>
      <c r="D660" t="s">
        <v>2472</v>
      </c>
      <c r="E660" t="s">
        <v>2608</v>
      </c>
      <c r="F660" t="s">
        <v>2527</v>
      </c>
      <c r="G660" t="s">
        <v>2607</v>
      </c>
      <c r="H660" t="s">
        <v>2610</v>
      </c>
      <c r="I660" t="s">
        <v>2583</v>
      </c>
      <c r="J660" t="s">
        <v>2477</v>
      </c>
    </row>
    <row r="661" spans="1:10">
      <c r="A661" t="s">
        <v>2612</v>
      </c>
      <c r="B661" t="s">
        <v>243</v>
      </c>
      <c r="C661" t="s">
        <v>244</v>
      </c>
      <c r="D661" t="s">
        <v>2472</v>
      </c>
      <c r="E661" t="s">
        <v>2608</v>
      </c>
      <c r="F661" t="s">
        <v>2527</v>
      </c>
      <c r="G661" t="s">
        <v>2607</v>
      </c>
      <c r="H661" t="s">
        <v>2610</v>
      </c>
      <c r="I661" t="s">
        <v>2583</v>
      </c>
      <c r="J661" t="s">
        <v>2477</v>
      </c>
    </row>
    <row r="662" spans="1:10">
      <c r="A662" t="s">
        <v>2613</v>
      </c>
      <c r="B662" t="s">
        <v>245</v>
      </c>
      <c r="C662" t="s">
        <v>246</v>
      </c>
      <c r="D662" t="s">
        <v>2472</v>
      </c>
      <c r="E662" t="s">
        <v>2608</v>
      </c>
      <c r="F662" t="s">
        <v>2527</v>
      </c>
      <c r="G662" t="s">
        <v>2607</v>
      </c>
      <c r="H662" t="s">
        <v>2610</v>
      </c>
      <c r="I662" t="s">
        <v>2583</v>
      </c>
      <c r="J662" t="s">
        <v>2477</v>
      </c>
    </row>
    <row r="663" spans="1:10">
      <c r="B663" t="s">
        <v>313</v>
      </c>
      <c r="C663" t="s">
        <v>314</v>
      </c>
      <c r="D663" t="s">
        <v>2472</v>
      </c>
      <c r="E663" t="s">
        <v>2608</v>
      </c>
      <c r="F663" t="s">
        <v>2527</v>
      </c>
      <c r="G663" t="s">
        <v>2607</v>
      </c>
      <c r="H663" t="s">
        <v>2475</v>
      </c>
      <c r="I663" t="s">
        <v>2476</v>
      </c>
      <c r="J663" t="s">
        <v>2477</v>
      </c>
    </row>
    <row r="664" spans="1:10">
      <c r="B664" t="s">
        <v>315</v>
      </c>
      <c r="C664" t="s">
        <v>316</v>
      </c>
      <c r="D664" t="s">
        <v>2472</v>
      </c>
      <c r="E664" t="s">
        <v>2608</v>
      </c>
      <c r="F664" t="s">
        <v>2527</v>
      </c>
      <c r="G664" t="s">
        <v>2607</v>
      </c>
      <c r="H664" t="s">
        <v>2475</v>
      </c>
      <c r="I664" t="s">
        <v>2614</v>
      </c>
      <c r="J664" t="s">
        <v>2477</v>
      </c>
    </row>
    <row r="665" spans="1:10">
      <c r="B665" t="s">
        <v>413</v>
      </c>
      <c r="C665" t="s">
        <v>414</v>
      </c>
      <c r="D665" t="s">
        <v>2472</v>
      </c>
      <c r="E665" t="s">
        <v>2608</v>
      </c>
      <c r="F665" t="s">
        <v>2527</v>
      </c>
      <c r="G665" t="s">
        <v>2607</v>
      </c>
      <c r="H665" t="s">
        <v>2475</v>
      </c>
      <c r="I665" t="s">
        <v>2476</v>
      </c>
      <c r="J665" t="s">
        <v>2477</v>
      </c>
    </row>
    <row r="666" spans="1:10">
      <c r="B666" t="s">
        <v>415</v>
      </c>
      <c r="C666" t="s">
        <v>416</v>
      </c>
      <c r="D666" t="s">
        <v>2472</v>
      </c>
      <c r="E666" t="s">
        <v>2608</v>
      </c>
      <c r="F666" t="s">
        <v>2527</v>
      </c>
      <c r="G666" t="s">
        <v>2607</v>
      </c>
      <c r="H666" t="s">
        <v>2475</v>
      </c>
      <c r="I666" t="s">
        <v>2614</v>
      </c>
      <c r="J666" t="s">
        <v>2477</v>
      </c>
    </row>
    <row r="667" spans="1:10">
      <c r="B667" t="s">
        <v>317</v>
      </c>
      <c r="C667" t="s">
        <v>318</v>
      </c>
      <c r="D667" t="s">
        <v>2472</v>
      </c>
      <c r="F667" t="s">
        <v>2527</v>
      </c>
      <c r="G667" t="s">
        <v>2470</v>
      </c>
      <c r="I667" t="s">
        <v>2522</v>
      </c>
      <c r="J667" t="s">
        <v>2477</v>
      </c>
    </row>
    <row r="668" spans="1:10">
      <c r="B668" t="s">
        <v>247</v>
      </c>
      <c r="C668" t="s">
        <v>248</v>
      </c>
      <c r="D668" t="s">
        <v>2472</v>
      </c>
      <c r="F668" t="s">
        <v>2527</v>
      </c>
      <c r="G668" t="s">
        <v>2470</v>
      </c>
      <c r="I668" t="s">
        <v>2522</v>
      </c>
      <c r="J668" t="s">
        <v>2477</v>
      </c>
    </row>
    <row r="669" spans="1:10">
      <c r="B669" t="s">
        <v>249</v>
      </c>
      <c r="C669" t="s">
        <v>250</v>
      </c>
      <c r="D669" t="s">
        <v>2472</v>
      </c>
      <c r="F669" t="s">
        <v>2527</v>
      </c>
      <c r="G669" t="s">
        <v>2607</v>
      </c>
      <c r="I669" t="s">
        <v>2489</v>
      </c>
      <c r="J669" t="s">
        <v>2477</v>
      </c>
    </row>
    <row r="670" spans="1:10">
      <c r="B670" t="s">
        <v>251</v>
      </c>
      <c r="C670" t="s">
        <v>252</v>
      </c>
      <c r="D670" t="s">
        <v>2472</v>
      </c>
      <c r="E670" t="s">
        <v>2608</v>
      </c>
      <c r="F670" t="s">
        <v>2527</v>
      </c>
      <c r="G670" t="s">
        <v>2607</v>
      </c>
      <c r="H670" t="s">
        <v>2475</v>
      </c>
      <c r="I670" t="s">
        <v>2476</v>
      </c>
      <c r="J670" t="s">
        <v>2499</v>
      </c>
    </row>
    <row r="671" spans="1:10">
      <c r="B671" t="s">
        <v>253</v>
      </c>
      <c r="C671" t="s">
        <v>254</v>
      </c>
      <c r="D671" t="s">
        <v>2472</v>
      </c>
      <c r="E671" t="s">
        <v>2608</v>
      </c>
      <c r="F671" t="s">
        <v>2527</v>
      </c>
      <c r="G671" t="s">
        <v>2607</v>
      </c>
      <c r="H671" t="s">
        <v>2475</v>
      </c>
      <c r="I671" t="s">
        <v>2614</v>
      </c>
      <c r="J671" t="s">
        <v>2499</v>
      </c>
    </row>
    <row r="672" spans="1:10">
      <c r="B672" t="s">
        <v>428</v>
      </c>
      <c r="C672" t="s">
        <v>465</v>
      </c>
      <c r="D672" t="s">
        <v>2472</v>
      </c>
      <c r="E672" t="s">
        <v>2608</v>
      </c>
      <c r="F672" t="s">
        <v>2527</v>
      </c>
      <c r="G672" t="s">
        <v>2607</v>
      </c>
      <c r="H672" t="s">
        <v>2475</v>
      </c>
      <c r="I672" t="s">
        <v>2476</v>
      </c>
      <c r="J672" t="s">
        <v>2499</v>
      </c>
    </row>
    <row r="673" spans="2:14">
      <c r="B673" t="s">
        <v>429</v>
      </c>
      <c r="C673" t="s">
        <v>466</v>
      </c>
      <c r="D673" t="s">
        <v>2472</v>
      </c>
      <c r="E673" t="s">
        <v>2608</v>
      </c>
      <c r="F673" t="s">
        <v>2527</v>
      </c>
      <c r="G673" t="s">
        <v>2607</v>
      </c>
      <c r="H673" t="s">
        <v>2475</v>
      </c>
      <c r="I673" t="s">
        <v>2614</v>
      </c>
      <c r="J673" t="s">
        <v>2499</v>
      </c>
    </row>
    <row r="674" spans="2:14">
      <c r="B674" t="s">
        <v>562</v>
      </c>
      <c r="C674" t="s">
        <v>563</v>
      </c>
      <c r="D674" t="s">
        <v>2472</v>
      </c>
      <c r="E674" t="s">
        <v>2608</v>
      </c>
      <c r="F674" t="s">
        <v>2527</v>
      </c>
      <c r="G674" t="s">
        <v>2607</v>
      </c>
      <c r="H674" t="s">
        <v>2475</v>
      </c>
      <c r="I674" t="s">
        <v>2476</v>
      </c>
      <c r="J674" t="s">
        <v>2499</v>
      </c>
    </row>
    <row r="675" spans="2:14">
      <c r="B675" t="s">
        <v>564</v>
      </c>
      <c r="C675" t="s">
        <v>565</v>
      </c>
      <c r="D675" t="s">
        <v>2472</v>
      </c>
      <c r="E675" t="s">
        <v>2608</v>
      </c>
      <c r="F675" t="s">
        <v>2527</v>
      </c>
      <c r="G675" t="s">
        <v>2607</v>
      </c>
      <c r="H675" t="s">
        <v>2475</v>
      </c>
      <c r="I675" t="s">
        <v>2614</v>
      </c>
      <c r="J675" t="s">
        <v>2499</v>
      </c>
    </row>
    <row r="676" spans="2:14">
      <c r="B676" t="s">
        <v>566</v>
      </c>
      <c r="C676" t="s">
        <v>567</v>
      </c>
      <c r="D676" t="s">
        <v>2472</v>
      </c>
      <c r="E676" t="s">
        <v>2608</v>
      </c>
      <c r="F676" t="s">
        <v>2527</v>
      </c>
      <c r="G676" t="s">
        <v>2607</v>
      </c>
      <c r="H676" t="s">
        <v>2475</v>
      </c>
      <c r="I676" t="s">
        <v>2476</v>
      </c>
      <c r="J676" t="s">
        <v>2499</v>
      </c>
    </row>
    <row r="677" spans="2:14">
      <c r="B677" t="s">
        <v>568</v>
      </c>
      <c r="C677" t="s">
        <v>569</v>
      </c>
      <c r="D677" t="s">
        <v>2472</v>
      </c>
      <c r="E677" t="s">
        <v>2608</v>
      </c>
      <c r="F677" t="s">
        <v>2527</v>
      </c>
      <c r="G677" t="s">
        <v>2607</v>
      </c>
      <c r="H677" t="s">
        <v>2475</v>
      </c>
      <c r="I677" t="s">
        <v>2614</v>
      </c>
      <c r="J677" t="s">
        <v>2499</v>
      </c>
    </row>
    <row r="678" spans="2:14">
      <c r="B678" t="s">
        <v>319</v>
      </c>
      <c r="C678" t="s">
        <v>320</v>
      </c>
      <c r="D678" t="s">
        <v>2472</v>
      </c>
      <c r="E678" t="s">
        <v>2526</v>
      </c>
      <c r="F678" t="s">
        <v>2527</v>
      </c>
      <c r="I678" t="s">
        <v>2615</v>
      </c>
      <c r="J678" t="s">
        <v>2499</v>
      </c>
      <c r="K678" t="s">
        <v>2556</v>
      </c>
    </row>
    <row r="679" spans="2:14">
      <c r="B679" t="s">
        <v>570</v>
      </c>
      <c r="C679" t="s">
        <v>571</v>
      </c>
      <c r="D679" t="s">
        <v>2472</v>
      </c>
      <c r="E679" t="s">
        <v>2616</v>
      </c>
      <c r="F679" t="s">
        <v>2527</v>
      </c>
      <c r="I679" t="s">
        <v>2614</v>
      </c>
      <c r="J679" t="s">
        <v>2477</v>
      </c>
      <c r="L679" t="s">
        <v>2477</v>
      </c>
      <c r="N679" t="s">
        <v>2477</v>
      </c>
    </row>
    <row r="680" spans="2:14">
      <c r="B680" t="s">
        <v>1492</v>
      </c>
      <c r="C680" t="s">
        <v>1493</v>
      </c>
    </row>
    <row r="681" spans="2:14">
      <c r="B681" t="s">
        <v>359</v>
      </c>
      <c r="C681" t="s">
        <v>360</v>
      </c>
      <c r="D681" t="s">
        <v>2472</v>
      </c>
      <c r="E681" t="s">
        <v>2608</v>
      </c>
      <c r="F681" t="s">
        <v>2527</v>
      </c>
      <c r="G681" t="s">
        <v>2607</v>
      </c>
      <c r="H681" t="s">
        <v>2475</v>
      </c>
      <c r="I681" t="s">
        <v>2476</v>
      </c>
      <c r="J681" t="s">
        <v>2477</v>
      </c>
    </row>
    <row r="682" spans="2:14">
      <c r="B682" t="s">
        <v>361</v>
      </c>
      <c r="C682" t="s">
        <v>362</v>
      </c>
      <c r="D682" t="s">
        <v>2472</v>
      </c>
      <c r="E682" t="s">
        <v>2608</v>
      </c>
      <c r="F682" t="s">
        <v>2527</v>
      </c>
      <c r="G682" t="s">
        <v>2607</v>
      </c>
      <c r="H682" t="s">
        <v>2475</v>
      </c>
      <c r="I682" t="s">
        <v>2614</v>
      </c>
      <c r="J682" t="s">
        <v>2477</v>
      </c>
    </row>
    <row r="683" spans="2:14">
      <c r="B683" t="s">
        <v>277</v>
      </c>
      <c r="C683" t="s">
        <v>278</v>
      </c>
      <c r="D683" t="s">
        <v>2472</v>
      </c>
      <c r="E683" t="s">
        <v>2608</v>
      </c>
      <c r="F683" t="s">
        <v>2527</v>
      </c>
      <c r="G683" t="s">
        <v>2607</v>
      </c>
      <c r="H683" t="s">
        <v>2475</v>
      </c>
      <c r="I683" t="s">
        <v>2476</v>
      </c>
      <c r="J683" t="s">
        <v>2477</v>
      </c>
    </row>
    <row r="684" spans="2:14">
      <c r="B684" t="s">
        <v>279</v>
      </c>
      <c r="C684" t="s">
        <v>280</v>
      </c>
      <c r="D684" t="s">
        <v>2472</v>
      </c>
      <c r="E684" t="s">
        <v>2608</v>
      </c>
      <c r="F684" t="s">
        <v>2527</v>
      </c>
      <c r="G684" t="s">
        <v>2607</v>
      </c>
      <c r="H684" t="s">
        <v>2475</v>
      </c>
      <c r="I684" t="s">
        <v>2614</v>
      </c>
      <c r="J684" t="s">
        <v>2477</v>
      </c>
    </row>
    <row r="685" spans="2:14">
      <c r="B685" t="s">
        <v>439</v>
      </c>
      <c r="C685" t="s">
        <v>476</v>
      </c>
      <c r="D685" t="s">
        <v>2472</v>
      </c>
      <c r="E685" t="s">
        <v>2608</v>
      </c>
      <c r="F685" t="s">
        <v>2527</v>
      </c>
      <c r="G685" t="s">
        <v>2607</v>
      </c>
      <c r="H685" t="s">
        <v>2475</v>
      </c>
      <c r="I685" t="s">
        <v>2476</v>
      </c>
      <c r="J685" t="s">
        <v>2477</v>
      </c>
    </row>
    <row r="686" spans="2:14">
      <c r="B686" t="s">
        <v>440</v>
      </c>
      <c r="C686" t="s">
        <v>477</v>
      </c>
      <c r="D686" t="s">
        <v>2472</v>
      </c>
      <c r="E686" t="s">
        <v>2608</v>
      </c>
      <c r="F686" t="s">
        <v>2527</v>
      </c>
      <c r="G686" t="s">
        <v>2607</v>
      </c>
      <c r="H686" t="s">
        <v>2475</v>
      </c>
      <c r="I686" t="s">
        <v>2614</v>
      </c>
      <c r="J686" t="s">
        <v>2477</v>
      </c>
    </row>
    <row r="687" spans="2:14">
      <c r="B687" t="s">
        <v>572</v>
      </c>
      <c r="C687" t="s">
        <v>573</v>
      </c>
      <c r="D687" t="s">
        <v>2472</v>
      </c>
      <c r="E687" t="s">
        <v>2608</v>
      </c>
      <c r="F687" t="s">
        <v>2527</v>
      </c>
      <c r="G687" t="s">
        <v>2607</v>
      </c>
      <c r="H687" t="s">
        <v>2475</v>
      </c>
      <c r="I687" t="s">
        <v>2614</v>
      </c>
      <c r="J687" t="s">
        <v>2477</v>
      </c>
    </row>
    <row r="688" spans="2:14">
      <c r="B688" t="s">
        <v>574</v>
      </c>
      <c r="C688" t="s">
        <v>575</v>
      </c>
      <c r="D688" t="s">
        <v>2472</v>
      </c>
      <c r="E688" t="s">
        <v>2608</v>
      </c>
      <c r="F688" t="s">
        <v>2527</v>
      </c>
      <c r="G688" t="s">
        <v>2607</v>
      </c>
      <c r="H688" t="s">
        <v>2475</v>
      </c>
      <c r="I688" t="s">
        <v>2614</v>
      </c>
      <c r="J688" t="s">
        <v>2477</v>
      </c>
    </row>
    <row r="689" spans="2:8">
      <c r="B689" t="s">
        <v>255</v>
      </c>
      <c r="C689" t="s">
        <v>256</v>
      </c>
      <c r="D689" t="s">
        <v>2472</v>
      </c>
      <c r="E689" t="s">
        <v>2608</v>
      </c>
      <c r="F689" t="s">
        <v>2527</v>
      </c>
    </row>
    <row r="690" spans="2:8">
      <c r="B690" t="s">
        <v>576</v>
      </c>
      <c r="C690" t="s">
        <v>577</v>
      </c>
      <c r="D690" t="s">
        <v>2472</v>
      </c>
      <c r="E690" t="s">
        <v>2608</v>
      </c>
      <c r="F690" t="s">
        <v>2527</v>
      </c>
      <c r="G690" t="s">
        <v>2607</v>
      </c>
      <c r="H690" t="s">
        <v>2489</v>
      </c>
    </row>
    <row r="691" spans="2:8">
      <c r="B691" t="s">
        <v>578</v>
      </c>
      <c r="C691" t="s">
        <v>579</v>
      </c>
      <c r="D691" t="s">
        <v>2472</v>
      </c>
      <c r="E691" t="s">
        <v>2608</v>
      </c>
      <c r="F691" t="s">
        <v>2527</v>
      </c>
      <c r="G691" t="s">
        <v>2607</v>
      </c>
      <c r="H691" t="s">
        <v>2475</v>
      </c>
    </row>
    <row r="692" spans="2:8">
      <c r="B692" t="s">
        <v>580</v>
      </c>
      <c r="C692" t="s">
        <v>581</v>
      </c>
      <c r="D692" t="s">
        <v>2472</v>
      </c>
      <c r="E692" t="s">
        <v>2608</v>
      </c>
      <c r="F692" t="s">
        <v>2527</v>
      </c>
      <c r="G692" t="s">
        <v>2607</v>
      </c>
      <c r="H692" t="s">
        <v>2475</v>
      </c>
    </row>
    <row r="693" spans="2:8">
      <c r="B693" t="s">
        <v>377</v>
      </c>
      <c r="C693" t="s">
        <v>378</v>
      </c>
      <c r="D693" t="s">
        <v>2472</v>
      </c>
      <c r="E693" t="s">
        <v>2608</v>
      </c>
      <c r="F693" t="s">
        <v>2527</v>
      </c>
      <c r="G693" t="s">
        <v>2607</v>
      </c>
      <c r="H693" t="s">
        <v>2475</v>
      </c>
    </row>
    <row r="694" spans="2:8">
      <c r="B694" t="s">
        <v>375</v>
      </c>
      <c r="C694" t="s">
        <v>376</v>
      </c>
      <c r="D694" t="s">
        <v>2472</v>
      </c>
      <c r="E694" t="s">
        <v>2608</v>
      </c>
      <c r="F694" t="s">
        <v>2527</v>
      </c>
      <c r="G694" t="s">
        <v>2607</v>
      </c>
      <c r="H694" t="s">
        <v>2475</v>
      </c>
    </row>
    <row r="695" spans="2:8">
      <c r="B695" t="s">
        <v>453</v>
      </c>
      <c r="C695" t="s">
        <v>489</v>
      </c>
      <c r="D695" t="s">
        <v>2472</v>
      </c>
      <c r="E695" t="s">
        <v>2608</v>
      </c>
      <c r="F695" t="s">
        <v>2527</v>
      </c>
      <c r="G695" t="s">
        <v>2607</v>
      </c>
      <c r="H695" t="s">
        <v>2475</v>
      </c>
    </row>
    <row r="696" spans="2:8">
      <c r="B696" t="s">
        <v>454</v>
      </c>
      <c r="C696" t="s">
        <v>490</v>
      </c>
      <c r="D696" t="s">
        <v>2472</v>
      </c>
      <c r="E696" t="s">
        <v>2608</v>
      </c>
      <c r="F696" t="s">
        <v>2527</v>
      </c>
      <c r="G696" t="s">
        <v>2607</v>
      </c>
      <c r="H696" t="s">
        <v>2475</v>
      </c>
    </row>
    <row r="697" spans="2:8">
      <c r="B697" t="s">
        <v>393</v>
      </c>
      <c r="C697" t="s">
        <v>394</v>
      </c>
      <c r="D697" t="s">
        <v>2472</v>
      </c>
      <c r="E697" t="s">
        <v>2608</v>
      </c>
      <c r="F697" t="s">
        <v>2527</v>
      </c>
      <c r="G697" t="s">
        <v>2607</v>
      </c>
      <c r="H697" t="s">
        <v>2475</v>
      </c>
    </row>
    <row r="698" spans="2:8">
      <c r="B698" t="s">
        <v>395</v>
      </c>
      <c r="C698" t="s">
        <v>396</v>
      </c>
      <c r="D698" t="s">
        <v>2472</v>
      </c>
      <c r="E698" t="s">
        <v>2608</v>
      </c>
      <c r="F698" t="s">
        <v>2527</v>
      </c>
      <c r="G698" t="s">
        <v>2607</v>
      </c>
      <c r="H698" t="s">
        <v>2475</v>
      </c>
    </row>
    <row r="699" spans="2:8">
      <c r="B699" t="s">
        <v>582</v>
      </c>
      <c r="C699" t="s">
        <v>583</v>
      </c>
      <c r="D699" t="s">
        <v>2472</v>
      </c>
      <c r="E699" t="s">
        <v>2608</v>
      </c>
      <c r="F699" t="s">
        <v>2527</v>
      </c>
      <c r="G699" t="s">
        <v>2607</v>
      </c>
      <c r="H699" t="s">
        <v>2489</v>
      </c>
    </row>
    <row r="700" spans="2:8">
      <c r="B700" t="s">
        <v>584</v>
      </c>
      <c r="C700" t="s">
        <v>585</v>
      </c>
      <c r="D700" t="s">
        <v>2472</v>
      </c>
      <c r="E700" t="s">
        <v>2608</v>
      </c>
      <c r="F700" t="s">
        <v>2527</v>
      </c>
      <c r="G700" t="s">
        <v>2607</v>
      </c>
      <c r="H700" t="s">
        <v>2489</v>
      </c>
    </row>
    <row r="701" spans="2:8">
      <c r="B701" t="s">
        <v>331</v>
      </c>
      <c r="C701" t="s">
        <v>332</v>
      </c>
      <c r="D701" t="s">
        <v>2472</v>
      </c>
      <c r="E701" t="s">
        <v>2608</v>
      </c>
      <c r="F701" t="s">
        <v>2527</v>
      </c>
      <c r="G701" t="s">
        <v>2607</v>
      </c>
      <c r="H701" t="s">
        <v>2475</v>
      </c>
    </row>
    <row r="702" spans="2:8">
      <c r="B702" t="s">
        <v>333</v>
      </c>
      <c r="C702" t="s">
        <v>334</v>
      </c>
      <c r="D702" t="s">
        <v>2472</v>
      </c>
      <c r="E702" t="s">
        <v>2608</v>
      </c>
      <c r="F702" t="s">
        <v>2527</v>
      </c>
      <c r="G702" t="s">
        <v>2607</v>
      </c>
      <c r="H702" t="s">
        <v>2475</v>
      </c>
    </row>
    <row r="703" spans="2:8">
      <c r="B703" t="s">
        <v>586</v>
      </c>
      <c r="C703" t="s">
        <v>587</v>
      </c>
      <c r="D703" t="s">
        <v>2472</v>
      </c>
      <c r="E703" t="s">
        <v>2608</v>
      </c>
      <c r="F703" t="s">
        <v>2527</v>
      </c>
      <c r="G703" t="s">
        <v>2607</v>
      </c>
      <c r="H703" t="s">
        <v>2475</v>
      </c>
    </row>
    <row r="704" spans="2:8">
      <c r="B704" t="s">
        <v>588</v>
      </c>
      <c r="C704" t="s">
        <v>589</v>
      </c>
      <c r="D704" t="s">
        <v>2472</v>
      </c>
      <c r="E704" t="s">
        <v>2608</v>
      </c>
      <c r="F704" t="s">
        <v>2527</v>
      </c>
      <c r="G704" t="s">
        <v>2607</v>
      </c>
      <c r="H704" t="s">
        <v>2475</v>
      </c>
    </row>
    <row r="705" spans="1:10">
      <c r="B705" t="s">
        <v>590</v>
      </c>
      <c r="C705" t="s">
        <v>591</v>
      </c>
      <c r="D705" t="s">
        <v>2472</v>
      </c>
      <c r="E705" t="s">
        <v>2608</v>
      </c>
      <c r="F705" t="s">
        <v>2527</v>
      </c>
      <c r="G705" t="s">
        <v>2607</v>
      </c>
      <c r="H705" t="s">
        <v>2475</v>
      </c>
    </row>
    <row r="706" spans="1:10">
      <c r="B706" t="s">
        <v>592</v>
      </c>
      <c r="C706" t="s">
        <v>593</v>
      </c>
      <c r="D706" t="s">
        <v>2472</v>
      </c>
      <c r="E706" t="s">
        <v>2608</v>
      </c>
      <c r="F706" t="s">
        <v>2527</v>
      </c>
      <c r="G706" t="s">
        <v>2607</v>
      </c>
      <c r="H706" t="s">
        <v>2475</v>
      </c>
    </row>
    <row r="707" spans="1:10">
      <c r="B707" t="s">
        <v>594</v>
      </c>
      <c r="C707" t="s">
        <v>595</v>
      </c>
      <c r="D707" t="s">
        <v>2472</v>
      </c>
      <c r="E707" t="s">
        <v>2608</v>
      </c>
      <c r="F707" t="s">
        <v>2527</v>
      </c>
      <c r="G707" t="s">
        <v>2607</v>
      </c>
      <c r="H707" t="s">
        <v>2475</v>
      </c>
    </row>
    <row r="708" spans="1:10">
      <c r="B708" t="s">
        <v>596</v>
      </c>
      <c r="C708" t="s">
        <v>597</v>
      </c>
      <c r="D708" t="s">
        <v>2472</v>
      </c>
      <c r="E708" t="s">
        <v>2608</v>
      </c>
      <c r="F708" t="s">
        <v>2527</v>
      </c>
      <c r="G708" t="s">
        <v>2607</v>
      </c>
      <c r="H708" t="s">
        <v>2475</v>
      </c>
    </row>
    <row r="709" spans="1:10">
      <c r="B709" t="s">
        <v>598</v>
      </c>
      <c r="C709" t="s">
        <v>599</v>
      </c>
      <c r="D709" t="s">
        <v>2472</v>
      </c>
      <c r="E709" t="s">
        <v>2608</v>
      </c>
      <c r="F709" t="s">
        <v>2527</v>
      </c>
      <c r="G709" t="s">
        <v>2607</v>
      </c>
      <c r="H709" t="s">
        <v>2475</v>
      </c>
    </row>
    <row r="710" spans="1:10">
      <c r="B710" t="s">
        <v>600</v>
      </c>
      <c r="C710" t="s">
        <v>601</v>
      </c>
      <c r="D710" t="s">
        <v>2472</v>
      </c>
      <c r="E710" t="s">
        <v>2608</v>
      </c>
      <c r="F710" t="s">
        <v>2527</v>
      </c>
      <c r="G710" t="s">
        <v>2607</v>
      </c>
      <c r="H710" t="s">
        <v>2475</v>
      </c>
    </row>
    <row r="711" spans="1:10">
      <c r="B711" t="s">
        <v>602</v>
      </c>
      <c r="C711" t="s">
        <v>603</v>
      </c>
      <c r="D711" t="s">
        <v>2472</v>
      </c>
      <c r="E711" t="s">
        <v>2608</v>
      </c>
      <c r="F711" t="s">
        <v>2527</v>
      </c>
      <c r="G711" t="s">
        <v>2607</v>
      </c>
      <c r="H711" t="s">
        <v>2475</v>
      </c>
    </row>
    <row r="712" spans="1:10">
      <c r="B712" t="s">
        <v>1494</v>
      </c>
      <c r="C712" t="s">
        <v>1495</v>
      </c>
      <c r="D712" t="s">
        <v>2486</v>
      </c>
    </row>
    <row r="713" spans="1:10">
      <c r="B713" t="s">
        <v>1496</v>
      </c>
      <c r="C713" t="s">
        <v>1497</v>
      </c>
      <c r="D713" t="s">
        <v>2486</v>
      </c>
    </row>
    <row r="714" spans="1:10">
      <c r="B714" t="s">
        <v>1498</v>
      </c>
      <c r="C714" t="s">
        <v>1499</v>
      </c>
      <c r="D714" t="s">
        <v>2486</v>
      </c>
    </row>
    <row r="715" spans="1:10">
      <c r="B715" t="s">
        <v>1500</v>
      </c>
      <c r="C715" t="s">
        <v>1501</v>
      </c>
      <c r="D715" t="s">
        <v>2486</v>
      </c>
    </row>
    <row r="716" spans="1:10">
      <c r="B716" t="s">
        <v>1502</v>
      </c>
      <c r="C716" t="s">
        <v>1503</v>
      </c>
      <c r="D716" t="s">
        <v>2472</v>
      </c>
      <c r="F716" t="s">
        <v>2617</v>
      </c>
      <c r="H716" t="s">
        <v>2475</v>
      </c>
      <c r="I716" t="s">
        <v>2476</v>
      </c>
    </row>
    <row r="717" spans="1:10">
      <c r="B717" t="s">
        <v>1504</v>
      </c>
      <c r="C717" t="s">
        <v>1505</v>
      </c>
      <c r="D717" t="s">
        <v>2472</v>
      </c>
      <c r="F717" t="s">
        <v>2617</v>
      </c>
      <c r="H717" t="s">
        <v>2475</v>
      </c>
      <c r="I717" t="s">
        <v>2476</v>
      </c>
    </row>
    <row r="718" spans="1:10">
      <c r="B718" t="s">
        <v>1506</v>
      </c>
      <c r="C718" t="s">
        <v>1507</v>
      </c>
      <c r="D718" t="s">
        <v>2472</v>
      </c>
      <c r="F718" t="s">
        <v>2617</v>
      </c>
      <c r="H718" t="s">
        <v>2475</v>
      </c>
      <c r="I718" t="s">
        <v>2476</v>
      </c>
    </row>
    <row r="719" spans="1:10">
      <c r="B719" t="s">
        <v>1508</v>
      </c>
      <c r="C719" t="s">
        <v>1509</v>
      </c>
      <c r="D719" t="s">
        <v>2472</v>
      </c>
      <c r="F719" t="s">
        <v>2617</v>
      </c>
      <c r="I719" t="s">
        <v>2476</v>
      </c>
    </row>
    <row r="720" spans="1:10">
      <c r="A720" t="s">
        <v>604</v>
      </c>
      <c r="B720" t="s">
        <v>604</v>
      </c>
      <c r="C720" t="s">
        <v>605</v>
      </c>
      <c r="D720" t="s">
        <v>2487</v>
      </c>
      <c r="E720" t="s">
        <v>2537</v>
      </c>
      <c r="F720" t="s">
        <v>2480</v>
      </c>
      <c r="G720" t="s">
        <v>2607</v>
      </c>
      <c r="H720" t="s">
        <v>2478</v>
      </c>
      <c r="I720" t="s">
        <v>2618</v>
      </c>
      <c r="J720" t="s">
        <v>2477</v>
      </c>
    </row>
    <row r="721" spans="1:14">
      <c r="A721" t="s">
        <v>606</v>
      </c>
      <c r="B721" t="s">
        <v>606</v>
      </c>
      <c r="C721" t="s">
        <v>607</v>
      </c>
      <c r="D721" t="s">
        <v>2487</v>
      </c>
      <c r="E721" t="s">
        <v>2537</v>
      </c>
      <c r="F721" t="s">
        <v>2480</v>
      </c>
      <c r="G721" t="s">
        <v>2607</v>
      </c>
      <c r="H721" t="s">
        <v>2528</v>
      </c>
      <c r="I721" t="s">
        <v>2547</v>
      </c>
      <c r="J721" t="s">
        <v>2477</v>
      </c>
      <c r="L721" t="s">
        <v>2477</v>
      </c>
      <c r="N721" t="s">
        <v>2477</v>
      </c>
    </row>
    <row r="722" spans="1:14">
      <c r="B722" t="s">
        <v>1510</v>
      </c>
      <c r="C722" t="s">
        <v>1511</v>
      </c>
      <c r="D722" t="s">
        <v>2487</v>
      </c>
    </row>
    <row r="723" spans="1:14">
      <c r="B723" t="s">
        <v>1512</v>
      </c>
      <c r="C723" t="s">
        <v>1513</v>
      </c>
      <c r="D723" t="s">
        <v>2487</v>
      </c>
    </row>
    <row r="724" spans="1:14">
      <c r="B724" t="s">
        <v>1514</v>
      </c>
      <c r="C724" t="s">
        <v>1515</v>
      </c>
      <c r="D724" t="s">
        <v>2487</v>
      </c>
    </row>
    <row r="725" spans="1:14">
      <c r="B725" t="s">
        <v>1516</v>
      </c>
      <c r="C725" t="s">
        <v>1517</v>
      </c>
      <c r="D725" t="s">
        <v>2487</v>
      </c>
    </row>
    <row r="726" spans="1:14">
      <c r="B726" t="s">
        <v>1518</v>
      </c>
      <c r="C726" t="s">
        <v>1519</v>
      </c>
      <c r="D726" t="s">
        <v>2487</v>
      </c>
    </row>
    <row r="727" spans="1:14">
      <c r="B727" t="s">
        <v>1520</v>
      </c>
      <c r="C727" t="s">
        <v>1521</v>
      </c>
      <c r="D727" t="s">
        <v>2487</v>
      </c>
    </row>
    <row r="728" spans="1:14">
      <c r="B728" t="s">
        <v>1522</v>
      </c>
      <c r="C728" t="s">
        <v>1523</v>
      </c>
      <c r="D728" t="s">
        <v>2487</v>
      </c>
    </row>
    <row r="729" spans="1:14">
      <c r="B729" t="s">
        <v>1524</v>
      </c>
      <c r="C729" t="s">
        <v>1525</v>
      </c>
      <c r="D729" t="s">
        <v>2487</v>
      </c>
      <c r="J729" t="s">
        <v>2477</v>
      </c>
      <c r="L729" t="s">
        <v>2477</v>
      </c>
      <c r="N729" t="s">
        <v>2477</v>
      </c>
    </row>
    <row r="730" spans="1:14">
      <c r="B730" t="s">
        <v>1526</v>
      </c>
      <c r="C730" t="s">
        <v>1527</v>
      </c>
      <c r="D730" t="s">
        <v>2487</v>
      </c>
    </row>
    <row r="731" spans="1:14">
      <c r="B731" t="s">
        <v>1528</v>
      </c>
      <c r="C731" t="s">
        <v>1529</v>
      </c>
      <c r="D731" t="s">
        <v>2487</v>
      </c>
    </row>
    <row r="732" spans="1:14">
      <c r="B732" t="s">
        <v>1530</v>
      </c>
      <c r="C732" t="s">
        <v>1531</v>
      </c>
      <c r="D732" t="s">
        <v>2487</v>
      </c>
    </row>
    <row r="733" spans="1:14">
      <c r="B733" t="s">
        <v>1532</v>
      </c>
      <c r="C733" t="s">
        <v>1533</v>
      </c>
      <c r="D733" t="s">
        <v>2487</v>
      </c>
    </row>
    <row r="734" spans="1:14">
      <c r="B734" t="s">
        <v>1534</v>
      </c>
      <c r="C734" t="s">
        <v>1535</v>
      </c>
      <c r="D734" t="s">
        <v>2487</v>
      </c>
      <c r="J734" t="s">
        <v>2477</v>
      </c>
      <c r="L734" t="s">
        <v>2477</v>
      </c>
      <c r="N734" t="s">
        <v>2477</v>
      </c>
    </row>
    <row r="735" spans="1:14">
      <c r="B735" t="s">
        <v>1536</v>
      </c>
      <c r="C735" t="s">
        <v>1537</v>
      </c>
      <c r="D735" t="s">
        <v>2487</v>
      </c>
    </row>
    <row r="736" spans="1:14">
      <c r="B736" t="s">
        <v>1538</v>
      </c>
      <c r="C736" t="s">
        <v>1539</v>
      </c>
      <c r="D736" t="s">
        <v>2487</v>
      </c>
    </row>
    <row r="737" spans="2:9">
      <c r="B737" t="s">
        <v>1540</v>
      </c>
      <c r="C737" t="s">
        <v>1541</v>
      </c>
      <c r="D737" t="s">
        <v>2487</v>
      </c>
    </row>
    <row r="738" spans="2:9">
      <c r="B738" t="s">
        <v>1542</v>
      </c>
      <c r="C738" t="s">
        <v>1543</v>
      </c>
      <c r="D738" t="s">
        <v>2487</v>
      </c>
    </row>
    <row r="739" spans="2:9">
      <c r="B739" t="s">
        <v>1544</v>
      </c>
      <c r="C739" t="s">
        <v>1545</v>
      </c>
      <c r="D739" t="s">
        <v>2487</v>
      </c>
    </row>
    <row r="740" spans="2:9">
      <c r="B740" t="s">
        <v>1546</v>
      </c>
      <c r="C740" t="s">
        <v>1547</v>
      </c>
      <c r="D740" t="s">
        <v>2487</v>
      </c>
    </row>
    <row r="741" spans="2:9">
      <c r="B741" t="s">
        <v>608</v>
      </c>
      <c r="C741" t="s">
        <v>609</v>
      </c>
      <c r="D741" t="s">
        <v>2487</v>
      </c>
      <c r="E741" t="s">
        <v>2535</v>
      </c>
      <c r="F741" t="s">
        <v>2473</v>
      </c>
      <c r="H741" t="s">
        <v>2475</v>
      </c>
      <c r="I741" t="s">
        <v>2476</v>
      </c>
    </row>
    <row r="742" spans="2:9">
      <c r="B742" t="s">
        <v>1548</v>
      </c>
      <c r="C742" t="s">
        <v>1549</v>
      </c>
      <c r="D742" t="s">
        <v>2487</v>
      </c>
    </row>
    <row r="743" spans="2:9">
      <c r="B743" t="s">
        <v>1550</v>
      </c>
      <c r="C743" t="s">
        <v>1551</v>
      </c>
      <c r="D743" t="s">
        <v>2487</v>
      </c>
    </row>
    <row r="744" spans="2:9">
      <c r="B744" t="s">
        <v>1552</v>
      </c>
      <c r="C744" t="s">
        <v>1553</v>
      </c>
      <c r="D744" t="s">
        <v>2487</v>
      </c>
    </row>
    <row r="745" spans="2:9">
      <c r="B745" t="s">
        <v>1554</v>
      </c>
      <c r="C745" t="s">
        <v>1555</v>
      </c>
      <c r="D745" t="s">
        <v>2487</v>
      </c>
    </row>
    <row r="746" spans="2:9">
      <c r="B746" t="s">
        <v>1556</v>
      </c>
      <c r="C746" t="s">
        <v>1557</v>
      </c>
      <c r="D746" t="s">
        <v>2487</v>
      </c>
    </row>
    <row r="747" spans="2:9">
      <c r="B747" t="s">
        <v>1558</v>
      </c>
      <c r="C747" t="s">
        <v>1559</v>
      </c>
      <c r="D747" t="s">
        <v>2487</v>
      </c>
    </row>
    <row r="748" spans="2:9">
      <c r="B748" t="s">
        <v>1560</v>
      </c>
      <c r="C748" t="s">
        <v>1561</v>
      </c>
      <c r="D748" t="s">
        <v>2487</v>
      </c>
    </row>
    <row r="749" spans="2:9">
      <c r="B749" t="s">
        <v>1562</v>
      </c>
      <c r="C749" t="s">
        <v>1563</v>
      </c>
      <c r="D749" t="s">
        <v>2487</v>
      </c>
    </row>
    <row r="750" spans="2:9">
      <c r="B750" t="s">
        <v>1564</v>
      </c>
      <c r="C750" t="s">
        <v>1565</v>
      </c>
      <c r="D750" t="s">
        <v>2487</v>
      </c>
    </row>
    <row r="751" spans="2:9">
      <c r="B751" t="s">
        <v>1566</v>
      </c>
      <c r="C751" t="s">
        <v>1567</v>
      </c>
      <c r="D751" t="s">
        <v>2487</v>
      </c>
    </row>
    <row r="752" spans="2:9">
      <c r="B752" t="s">
        <v>1568</v>
      </c>
      <c r="C752" t="s">
        <v>1569</v>
      </c>
      <c r="D752" t="s">
        <v>2487</v>
      </c>
    </row>
    <row r="753" spans="2:4">
      <c r="B753" t="s">
        <v>1570</v>
      </c>
      <c r="C753" t="s">
        <v>1571</v>
      </c>
      <c r="D753" t="s">
        <v>2487</v>
      </c>
    </row>
    <row r="754" spans="2:4">
      <c r="B754" t="s">
        <v>1572</v>
      </c>
      <c r="C754" t="s">
        <v>1573</v>
      </c>
      <c r="D754" t="s">
        <v>2487</v>
      </c>
    </row>
    <row r="755" spans="2:4">
      <c r="B755" t="s">
        <v>1574</v>
      </c>
      <c r="C755" t="s">
        <v>1575</v>
      </c>
      <c r="D755" t="s">
        <v>2487</v>
      </c>
    </row>
    <row r="756" spans="2:4">
      <c r="B756" t="s">
        <v>1576</v>
      </c>
      <c r="C756" t="s">
        <v>1577</v>
      </c>
      <c r="D756" t="s">
        <v>2487</v>
      </c>
    </row>
    <row r="757" spans="2:4">
      <c r="B757" t="s">
        <v>1578</v>
      </c>
      <c r="C757" t="s">
        <v>1579</v>
      </c>
      <c r="D757" t="s">
        <v>2487</v>
      </c>
    </row>
    <row r="758" spans="2:4">
      <c r="B758" t="s">
        <v>1580</v>
      </c>
      <c r="C758" t="s">
        <v>1581</v>
      </c>
      <c r="D758" t="s">
        <v>2487</v>
      </c>
    </row>
    <row r="759" spans="2:4">
      <c r="B759" t="s">
        <v>1582</v>
      </c>
      <c r="C759" t="s">
        <v>1583</v>
      </c>
      <c r="D759" t="s">
        <v>2487</v>
      </c>
    </row>
    <row r="760" spans="2:4">
      <c r="B760" t="s">
        <v>1584</v>
      </c>
      <c r="C760" t="s">
        <v>1585</v>
      </c>
      <c r="D760" t="s">
        <v>2487</v>
      </c>
    </row>
    <row r="761" spans="2:4">
      <c r="B761" t="s">
        <v>1586</v>
      </c>
      <c r="C761" t="s">
        <v>1587</v>
      </c>
      <c r="D761" t="s">
        <v>2487</v>
      </c>
    </row>
    <row r="762" spans="2:4">
      <c r="B762" t="s">
        <v>1588</v>
      </c>
      <c r="C762" t="s">
        <v>1589</v>
      </c>
      <c r="D762" t="s">
        <v>2487</v>
      </c>
    </row>
    <row r="763" spans="2:4">
      <c r="B763" t="s">
        <v>1590</v>
      </c>
      <c r="C763" t="s">
        <v>1591</v>
      </c>
      <c r="D763" t="s">
        <v>2487</v>
      </c>
    </row>
    <row r="764" spans="2:4">
      <c r="B764" t="s">
        <v>1592</v>
      </c>
      <c r="C764" t="s">
        <v>1593</v>
      </c>
      <c r="D764" t="s">
        <v>2487</v>
      </c>
    </row>
    <row r="765" spans="2:4">
      <c r="B765" t="s">
        <v>1594</v>
      </c>
      <c r="C765" t="s">
        <v>1595</v>
      </c>
      <c r="D765" t="s">
        <v>2487</v>
      </c>
    </row>
    <row r="766" spans="2:4">
      <c r="B766" t="s">
        <v>1596</v>
      </c>
      <c r="C766" t="s">
        <v>1597</v>
      </c>
      <c r="D766" t="s">
        <v>2487</v>
      </c>
    </row>
    <row r="767" spans="2:4">
      <c r="B767" t="s">
        <v>1598</v>
      </c>
      <c r="C767" t="s">
        <v>1599</v>
      </c>
      <c r="D767" t="s">
        <v>2487</v>
      </c>
    </row>
    <row r="768" spans="2:4">
      <c r="B768" t="s">
        <v>1600</v>
      </c>
      <c r="C768" t="s">
        <v>1601</v>
      </c>
      <c r="D768" t="s">
        <v>2487</v>
      </c>
    </row>
    <row r="769" spans="2:10">
      <c r="B769" t="s">
        <v>1602</v>
      </c>
      <c r="C769" t="s">
        <v>1603</v>
      </c>
      <c r="D769" t="s">
        <v>2487</v>
      </c>
    </row>
    <row r="770" spans="2:10">
      <c r="B770" t="s">
        <v>1604</v>
      </c>
      <c r="C770" t="s">
        <v>1605</v>
      </c>
      <c r="D770" t="s">
        <v>2487</v>
      </c>
    </row>
    <row r="771" spans="2:10">
      <c r="B771" t="s">
        <v>610</v>
      </c>
      <c r="C771" t="s">
        <v>611</v>
      </c>
      <c r="D771" t="s">
        <v>2487</v>
      </c>
    </row>
    <row r="772" spans="2:10">
      <c r="B772" t="s">
        <v>1606</v>
      </c>
      <c r="C772" t="s">
        <v>1607</v>
      </c>
      <c r="D772" t="s">
        <v>2487</v>
      </c>
    </row>
    <row r="773" spans="2:10">
      <c r="B773" t="s">
        <v>1608</v>
      </c>
      <c r="C773" t="s">
        <v>1609</v>
      </c>
      <c r="D773" t="s">
        <v>2487</v>
      </c>
    </row>
    <row r="774" spans="2:10">
      <c r="B774" t="s">
        <v>1610</v>
      </c>
      <c r="C774" t="s">
        <v>1611</v>
      </c>
      <c r="D774" t="s">
        <v>2487</v>
      </c>
    </row>
    <row r="775" spans="2:10">
      <c r="B775" t="s">
        <v>612</v>
      </c>
      <c r="C775" t="s">
        <v>613</v>
      </c>
      <c r="D775" t="s">
        <v>2487</v>
      </c>
    </row>
    <row r="776" spans="2:10">
      <c r="B776" t="s">
        <v>1612</v>
      </c>
      <c r="C776" t="s">
        <v>1613</v>
      </c>
      <c r="D776" t="s">
        <v>2487</v>
      </c>
      <c r="E776" t="s">
        <v>2606</v>
      </c>
      <c r="F776" t="s">
        <v>2480</v>
      </c>
      <c r="G776" t="s">
        <v>2470</v>
      </c>
      <c r="H776" t="s">
        <v>2619</v>
      </c>
      <c r="I776" t="s">
        <v>2620</v>
      </c>
      <c r="J776" t="s">
        <v>2477</v>
      </c>
    </row>
    <row r="777" spans="2:10">
      <c r="B777" t="s">
        <v>1614</v>
      </c>
      <c r="C777" t="s">
        <v>1615</v>
      </c>
      <c r="D777" t="s">
        <v>2487</v>
      </c>
    </row>
    <row r="778" spans="2:10">
      <c r="B778" t="s">
        <v>1616</v>
      </c>
      <c r="C778" t="s">
        <v>1617</v>
      </c>
      <c r="D778" t="s">
        <v>2487</v>
      </c>
    </row>
    <row r="779" spans="2:10">
      <c r="B779" t="s">
        <v>1618</v>
      </c>
      <c r="C779" t="s">
        <v>1619</v>
      </c>
      <c r="D779" t="s">
        <v>2487</v>
      </c>
    </row>
    <row r="780" spans="2:10">
      <c r="B780" t="s">
        <v>1620</v>
      </c>
      <c r="C780" t="s">
        <v>1621</v>
      </c>
      <c r="D780" t="s">
        <v>2487</v>
      </c>
    </row>
    <row r="781" spans="2:10">
      <c r="B781" t="s">
        <v>1622</v>
      </c>
      <c r="C781" t="s">
        <v>1623</v>
      </c>
      <c r="D781" t="s">
        <v>2487</v>
      </c>
    </row>
    <row r="782" spans="2:10">
      <c r="B782" t="s">
        <v>1624</v>
      </c>
      <c r="C782" t="s">
        <v>1625</v>
      </c>
      <c r="D782" t="s">
        <v>2487</v>
      </c>
    </row>
    <row r="783" spans="2:10">
      <c r="B783" t="s">
        <v>1626</v>
      </c>
      <c r="C783" t="s">
        <v>1627</v>
      </c>
      <c r="D783" t="s">
        <v>2487</v>
      </c>
      <c r="E783" t="s">
        <v>2606</v>
      </c>
      <c r="F783" t="s">
        <v>2480</v>
      </c>
      <c r="G783" t="s">
        <v>2470</v>
      </c>
      <c r="H783" t="s">
        <v>2621</v>
      </c>
      <c r="I783" t="s">
        <v>2622</v>
      </c>
      <c r="J783" t="s">
        <v>2477</v>
      </c>
    </row>
    <row r="784" spans="2:10">
      <c r="B784" t="s">
        <v>1628</v>
      </c>
      <c r="C784" t="s">
        <v>1629</v>
      </c>
      <c r="D784" t="s">
        <v>2487</v>
      </c>
    </row>
    <row r="785" spans="2:4">
      <c r="B785" t="s">
        <v>1630</v>
      </c>
      <c r="C785" t="s">
        <v>1631</v>
      </c>
      <c r="D785" t="s">
        <v>2487</v>
      </c>
    </row>
    <row r="786" spans="2:4">
      <c r="B786" t="s">
        <v>1632</v>
      </c>
      <c r="C786" t="s">
        <v>1633</v>
      </c>
      <c r="D786" t="s">
        <v>2487</v>
      </c>
    </row>
    <row r="787" spans="2:4">
      <c r="B787" t="s">
        <v>1634</v>
      </c>
      <c r="C787" t="s">
        <v>1635</v>
      </c>
      <c r="D787" t="s">
        <v>2487</v>
      </c>
    </row>
    <row r="788" spans="2:4">
      <c r="B788" t="s">
        <v>1636</v>
      </c>
      <c r="C788" t="s">
        <v>1637</v>
      </c>
      <c r="D788" t="s">
        <v>2487</v>
      </c>
    </row>
    <row r="789" spans="2:4">
      <c r="B789" t="s">
        <v>1638</v>
      </c>
      <c r="C789" t="s">
        <v>1639</v>
      </c>
      <c r="D789" t="s">
        <v>2487</v>
      </c>
    </row>
    <row r="790" spans="2:4">
      <c r="B790" t="s">
        <v>1640</v>
      </c>
      <c r="C790" t="s">
        <v>1641</v>
      </c>
      <c r="D790" t="s">
        <v>2487</v>
      </c>
    </row>
    <row r="791" spans="2:4">
      <c r="B791" t="s">
        <v>1642</v>
      </c>
      <c r="C791" t="s">
        <v>1643</v>
      </c>
      <c r="D791" t="s">
        <v>2487</v>
      </c>
    </row>
    <row r="792" spans="2:4">
      <c r="B792" t="s">
        <v>1644</v>
      </c>
      <c r="C792" t="s">
        <v>1645</v>
      </c>
      <c r="D792" t="s">
        <v>2487</v>
      </c>
    </row>
    <row r="793" spans="2:4">
      <c r="B793" t="s">
        <v>1646</v>
      </c>
      <c r="C793" t="s">
        <v>1647</v>
      </c>
      <c r="D793" t="s">
        <v>2487</v>
      </c>
    </row>
    <row r="794" spans="2:4">
      <c r="B794" t="s">
        <v>1648</v>
      </c>
      <c r="C794" t="s">
        <v>1649</v>
      </c>
      <c r="D794" t="s">
        <v>2487</v>
      </c>
    </row>
    <row r="795" spans="2:4">
      <c r="B795" t="s">
        <v>1650</v>
      </c>
      <c r="C795" t="s">
        <v>1651</v>
      </c>
      <c r="D795" t="s">
        <v>2487</v>
      </c>
    </row>
    <row r="796" spans="2:4">
      <c r="B796" t="s">
        <v>1652</v>
      </c>
      <c r="C796" t="s">
        <v>1653</v>
      </c>
      <c r="D796" t="s">
        <v>2487</v>
      </c>
    </row>
    <row r="797" spans="2:4">
      <c r="B797" t="s">
        <v>614</v>
      </c>
      <c r="C797" t="s">
        <v>615</v>
      </c>
      <c r="D797" t="s">
        <v>2487</v>
      </c>
    </row>
    <row r="798" spans="2:4">
      <c r="B798" t="s">
        <v>1654</v>
      </c>
      <c r="C798" t="s">
        <v>1655</v>
      </c>
      <c r="D798" t="s">
        <v>2487</v>
      </c>
    </row>
    <row r="799" spans="2:4">
      <c r="B799" t="s">
        <v>1656</v>
      </c>
      <c r="C799" t="s">
        <v>1657</v>
      </c>
      <c r="D799" t="s">
        <v>2487</v>
      </c>
    </row>
    <row r="800" spans="2:4">
      <c r="B800" t="s">
        <v>1658</v>
      </c>
      <c r="C800" t="s">
        <v>1659</v>
      </c>
      <c r="D800" t="s">
        <v>2487</v>
      </c>
    </row>
    <row r="801" spans="2:14">
      <c r="B801" t="s">
        <v>1660</v>
      </c>
      <c r="C801" t="s">
        <v>1661</v>
      </c>
      <c r="D801" t="s">
        <v>2487</v>
      </c>
    </row>
    <row r="802" spans="2:14">
      <c r="B802" t="s">
        <v>1662</v>
      </c>
      <c r="C802" t="s">
        <v>1663</v>
      </c>
      <c r="D802" t="s">
        <v>2487</v>
      </c>
    </row>
    <row r="803" spans="2:14">
      <c r="B803" t="s">
        <v>1664</v>
      </c>
      <c r="C803" t="s">
        <v>1665</v>
      </c>
      <c r="D803" t="s">
        <v>2487</v>
      </c>
    </row>
    <row r="804" spans="2:14">
      <c r="B804" t="s">
        <v>1666</v>
      </c>
      <c r="C804" t="s">
        <v>1667</v>
      </c>
      <c r="D804" t="s">
        <v>2487</v>
      </c>
    </row>
    <row r="805" spans="2:14">
      <c r="B805" t="s">
        <v>1668</v>
      </c>
      <c r="C805" t="s">
        <v>1669</v>
      </c>
      <c r="D805" t="s">
        <v>2487</v>
      </c>
    </row>
    <row r="806" spans="2:14">
      <c r="B806" t="s">
        <v>1670</v>
      </c>
      <c r="C806" t="s">
        <v>1671</v>
      </c>
      <c r="D806" t="s">
        <v>2487</v>
      </c>
    </row>
    <row r="807" spans="2:14">
      <c r="B807" t="s">
        <v>1672</v>
      </c>
      <c r="C807" t="s">
        <v>1673</v>
      </c>
      <c r="D807" t="s">
        <v>2487</v>
      </c>
    </row>
    <row r="808" spans="2:14">
      <c r="B808" t="s">
        <v>1674</v>
      </c>
      <c r="C808" t="s">
        <v>1675</v>
      </c>
      <c r="D808" t="s">
        <v>2487</v>
      </c>
    </row>
    <row r="809" spans="2:14">
      <c r="B809" t="s">
        <v>1676</v>
      </c>
      <c r="C809" t="s">
        <v>1677</v>
      </c>
      <c r="D809" t="s">
        <v>2487</v>
      </c>
    </row>
    <row r="810" spans="2:14">
      <c r="B810" t="s">
        <v>1678</v>
      </c>
      <c r="C810" t="s">
        <v>1679</v>
      </c>
      <c r="D810" t="s">
        <v>2487</v>
      </c>
    </row>
    <row r="811" spans="2:14">
      <c r="B811" t="s">
        <v>1680</v>
      </c>
      <c r="C811" t="s">
        <v>1681</v>
      </c>
      <c r="D811" t="s">
        <v>2487</v>
      </c>
    </row>
    <row r="812" spans="2:14">
      <c r="B812" t="s">
        <v>1682</v>
      </c>
      <c r="C812" t="s">
        <v>1683</v>
      </c>
      <c r="D812" t="s">
        <v>2487</v>
      </c>
    </row>
    <row r="813" spans="2:14">
      <c r="B813" t="s">
        <v>616</v>
      </c>
      <c r="C813" t="s">
        <v>617</v>
      </c>
      <c r="D813" t="s">
        <v>2487</v>
      </c>
      <c r="E813" t="s">
        <v>2623</v>
      </c>
      <c r="F813" t="s">
        <v>2480</v>
      </c>
      <c r="G813" t="s">
        <v>2470</v>
      </c>
      <c r="H813" t="s">
        <v>2598</v>
      </c>
      <c r="I813" t="s">
        <v>2624</v>
      </c>
      <c r="J813" t="s">
        <v>2477</v>
      </c>
      <c r="L813" t="s">
        <v>2477</v>
      </c>
      <c r="N813" t="s">
        <v>2477</v>
      </c>
    </row>
    <row r="814" spans="2:14">
      <c r="B814" t="s">
        <v>1684</v>
      </c>
      <c r="C814" t="s">
        <v>1685</v>
      </c>
      <c r="D814" t="s">
        <v>2487</v>
      </c>
    </row>
    <row r="815" spans="2:14">
      <c r="B815" t="s">
        <v>1686</v>
      </c>
      <c r="C815" t="s">
        <v>1687</v>
      </c>
      <c r="D815" t="s">
        <v>2487</v>
      </c>
    </row>
    <row r="816" spans="2:14">
      <c r="B816" t="s">
        <v>1688</v>
      </c>
      <c r="C816" t="s">
        <v>1689</v>
      </c>
      <c r="D816" t="s">
        <v>2487</v>
      </c>
    </row>
    <row r="817" spans="2:4">
      <c r="B817" t="s">
        <v>1690</v>
      </c>
      <c r="C817" t="s">
        <v>1691</v>
      </c>
      <c r="D817" t="s">
        <v>2487</v>
      </c>
    </row>
    <row r="818" spans="2:4">
      <c r="B818" t="s">
        <v>1692</v>
      </c>
      <c r="C818" t="s">
        <v>1693</v>
      </c>
      <c r="D818" t="s">
        <v>2487</v>
      </c>
    </row>
    <row r="819" spans="2:4">
      <c r="B819" t="s">
        <v>1694</v>
      </c>
      <c r="C819" t="s">
        <v>1695</v>
      </c>
      <c r="D819" t="s">
        <v>2487</v>
      </c>
    </row>
    <row r="820" spans="2:4">
      <c r="B820" t="s">
        <v>1696</v>
      </c>
      <c r="C820" t="s">
        <v>1697</v>
      </c>
      <c r="D820" t="s">
        <v>2487</v>
      </c>
    </row>
    <row r="821" spans="2:4">
      <c r="B821" t="s">
        <v>1698</v>
      </c>
      <c r="C821" t="s">
        <v>1699</v>
      </c>
      <c r="D821" t="s">
        <v>2487</v>
      </c>
    </row>
    <row r="822" spans="2:4">
      <c r="B822" t="s">
        <v>1700</v>
      </c>
      <c r="C822" t="s">
        <v>1701</v>
      </c>
      <c r="D822" t="s">
        <v>2487</v>
      </c>
    </row>
    <row r="823" spans="2:4">
      <c r="B823" t="s">
        <v>1702</v>
      </c>
      <c r="C823" t="s">
        <v>1703</v>
      </c>
      <c r="D823" t="s">
        <v>2487</v>
      </c>
    </row>
    <row r="824" spans="2:4">
      <c r="B824" t="s">
        <v>1704</v>
      </c>
      <c r="C824" t="s">
        <v>1705</v>
      </c>
      <c r="D824" t="s">
        <v>2487</v>
      </c>
    </row>
    <row r="825" spans="2:4">
      <c r="B825" t="s">
        <v>1706</v>
      </c>
      <c r="C825" t="s">
        <v>1707</v>
      </c>
      <c r="D825" t="s">
        <v>2487</v>
      </c>
    </row>
    <row r="826" spans="2:4">
      <c r="B826" t="s">
        <v>1708</v>
      </c>
      <c r="C826" t="s">
        <v>1709</v>
      </c>
      <c r="D826" t="s">
        <v>2487</v>
      </c>
    </row>
    <row r="827" spans="2:4">
      <c r="B827" t="s">
        <v>1710</v>
      </c>
      <c r="C827" t="s">
        <v>1711</v>
      </c>
      <c r="D827" t="s">
        <v>2487</v>
      </c>
    </row>
    <row r="828" spans="2:4">
      <c r="B828" t="s">
        <v>1712</v>
      </c>
      <c r="C828" t="s">
        <v>1713</v>
      </c>
      <c r="D828" t="s">
        <v>2487</v>
      </c>
    </row>
    <row r="829" spans="2:4">
      <c r="B829" t="s">
        <v>1714</v>
      </c>
      <c r="C829" t="s">
        <v>1715</v>
      </c>
      <c r="D829" t="s">
        <v>2487</v>
      </c>
    </row>
    <row r="830" spans="2:4">
      <c r="B830" t="s">
        <v>1716</v>
      </c>
      <c r="C830" t="s">
        <v>1717</v>
      </c>
      <c r="D830" t="s">
        <v>2487</v>
      </c>
    </row>
    <row r="831" spans="2:4">
      <c r="B831" t="s">
        <v>1718</v>
      </c>
      <c r="C831" t="s">
        <v>1719</v>
      </c>
      <c r="D831" t="s">
        <v>2487</v>
      </c>
    </row>
    <row r="832" spans="2:4">
      <c r="B832" t="s">
        <v>1720</v>
      </c>
      <c r="C832" t="s">
        <v>1721</v>
      </c>
      <c r="D832" t="s">
        <v>2487</v>
      </c>
    </row>
    <row r="833" spans="2:7">
      <c r="B833" t="s">
        <v>1722</v>
      </c>
      <c r="C833" t="s">
        <v>1723</v>
      </c>
      <c r="D833" t="s">
        <v>2487</v>
      </c>
    </row>
    <row r="834" spans="2:7">
      <c r="B834" t="s">
        <v>1724</v>
      </c>
      <c r="C834" t="s">
        <v>1725</v>
      </c>
      <c r="D834" t="s">
        <v>2487</v>
      </c>
    </row>
    <row r="835" spans="2:7">
      <c r="B835" t="s">
        <v>1726</v>
      </c>
      <c r="C835" t="s">
        <v>1727</v>
      </c>
      <c r="D835" t="s">
        <v>2487</v>
      </c>
    </row>
    <row r="836" spans="2:7">
      <c r="B836" t="s">
        <v>1728</v>
      </c>
      <c r="C836" t="s">
        <v>1729</v>
      </c>
      <c r="D836" t="s">
        <v>2487</v>
      </c>
    </row>
    <row r="837" spans="2:7">
      <c r="B837" t="s">
        <v>618</v>
      </c>
      <c r="C837" t="s">
        <v>619</v>
      </c>
      <c r="D837" t="s">
        <v>2487</v>
      </c>
    </row>
    <row r="838" spans="2:7">
      <c r="B838" t="s">
        <v>620</v>
      </c>
      <c r="C838" t="s">
        <v>621</v>
      </c>
      <c r="D838" t="s">
        <v>2487</v>
      </c>
    </row>
    <row r="839" spans="2:7">
      <c r="B839" t="s">
        <v>622</v>
      </c>
      <c r="C839" t="s">
        <v>623</v>
      </c>
      <c r="D839" t="s">
        <v>2487</v>
      </c>
    </row>
    <row r="840" spans="2:7">
      <c r="B840" t="s">
        <v>1730</v>
      </c>
      <c r="C840" t="s">
        <v>1731</v>
      </c>
      <c r="D840" t="s">
        <v>2487</v>
      </c>
    </row>
    <row r="841" spans="2:7">
      <c r="B841" t="s">
        <v>624</v>
      </c>
      <c r="C841" t="s">
        <v>625</v>
      </c>
      <c r="D841" t="s">
        <v>2487</v>
      </c>
      <c r="F841" t="s">
        <v>2480</v>
      </c>
      <c r="G841" t="s">
        <v>2470</v>
      </c>
    </row>
    <row r="842" spans="2:7">
      <c r="B842" t="s">
        <v>1732</v>
      </c>
      <c r="C842" t="s">
        <v>1733</v>
      </c>
      <c r="D842" t="s">
        <v>2487</v>
      </c>
    </row>
    <row r="843" spans="2:7">
      <c r="B843" t="s">
        <v>1734</v>
      </c>
      <c r="C843" t="s">
        <v>1735</v>
      </c>
      <c r="D843" t="s">
        <v>2487</v>
      </c>
    </row>
    <row r="844" spans="2:7">
      <c r="B844" t="s">
        <v>1736</v>
      </c>
      <c r="C844" t="s">
        <v>1737</v>
      </c>
      <c r="D844" t="s">
        <v>2487</v>
      </c>
    </row>
    <row r="845" spans="2:7">
      <c r="B845" t="s">
        <v>1738</v>
      </c>
      <c r="C845" t="s">
        <v>1739</v>
      </c>
      <c r="D845" t="s">
        <v>2487</v>
      </c>
    </row>
    <row r="846" spans="2:7">
      <c r="B846" t="s">
        <v>1740</v>
      </c>
      <c r="C846" t="s">
        <v>1741</v>
      </c>
      <c r="D846" t="s">
        <v>2487</v>
      </c>
    </row>
    <row r="847" spans="2:7">
      <c r="B847" t="s">
        <v>1742</v>
      </c>
      <c r="C847" t="s">
        <v>1743</v>
      </c>
      <c r="D847" t="s">
        <v>2487</v>
      </c>
    </row>
    <row r="848" spans="2:7">
      <c r="B848" t="s">
        <v>1744</v>
      </c>
      <c r="C848" t="s">
        <v>1745</v>
      </c>
      <c r="D848" t="s">
        <v>2487</v>
      </c>
    </row>
    <row r="849" spans="2:4">
      <c r="B849" t="s">
        <v>1746</v>
      </c>
      <c r="C849" t="s">
        <v>1747</v>
      </c>
      <c r="D849" t="s">
        <v>2487</v>
      </c>
    </row>
    <row r="850" spans="2:4">
      <c r="B850" t="s">
        <v>626</v>
      </c>
      <c r="C850" t="s">
        <v>627</v>
      </c>
      <c r="D850" t="s">
        <v>2487</v>
      </c>
    </row>
    <row r="851" spans="2:4">
      <c r="B851" t="s">
        <v>1748</v>
      </c>
      <c r="C851" t="s">
        <v>1749</v>
      </c>
      <c r="D851" t="s">
        <v>2487</v>
      </c>
    </row>
    <row r="852" spans="2:4">
      <c r="B852" t="s">
        <v>1750</v>
      </c>
      <c r="C852" t="s">
        <v>1751</v>
      </c>
      <c r="D852" t="s">
        <v>2487</v>
      </c>
    </row>
    <row r="853" spans="2:4">
      <c r="B853" t="s">
        <v>1752</v>
      </c>
      <c r="C853" t="s">
        <v>1753</v>
      </c>
      <c r="D853" t="s">
        <v>2487</v>
      </c>
    </row>
    <row r="854" spans="2:4">
      <c r="B854" t="s">
        <v>628</v>
      </c>
      <c r="C854" t="s">
        <v>629</v>
      </c>
      <c r="D854" t="s">
        <v>2487</v>
      </c>
    </row>
    <row r="855" spans="2:4">
      <c r="B855" t="s">
        <v>630</v>
      </c>
      <c r="C855" t="s">
        <v>631</v>
      </c>
      <c r="D855" t="s">
        <v>2487</v>
      </c>
    </row>
    <row r="856" spans="2:4">
      <c r="B856" t="s">
        <v>1754</v>
      </c>
      <c r="C856" t="s">
        <v>1755</v>
      </c>
      <c r="D856" t="s">
        <v>2487</v>
      </c>
    </row>
    <row r="857" spans="2:4">
      <c r="B857" t="s">
        <v>1756</v>
      </c>
      <c r="C857" t="s">
        <v>1757</v>
      </c>
      <c r="D857" t="s">
        <v>2487</v>
      </c>
    </row>
    <row r="858" spans="2:4">
      <c r="B858" t="s">
        <v>1758</v>
      </c>
      <c r="C858" t="s">
        <v>1759</v>
      </c>
      <c r="D858" t="s">
        <v>2487</v>
      </c>
    </row>
    <row r="859" spans="2:4">
      <c r="B859" t="s">
        <v>1760</v>
      </c>
      <c r="C859" t="s">
        <v>1761</v>
      </c>
      <c r="D859" t="s">
        <v>2487</v>
      </c>
    </row>
    <row r="860" spans="2:4">
      <c r="B860" t="s">
        <v>1762</v>
      </c>
      <c r="C860" t="s">
        <v>1763</v>
      </c>
      <c r="D860" t="s">
        <v>2487</v>
      </c>
    </row>
    <row r="861" spans="2:4">
      <c r="B861" t="s">
        <v>1764</v>
      </c>
      <c r="C861" t="s">
        <v>1765</v>
      </c>
      <c r="D861" t="s">
        <v>2487</v>
      </c>
    </row>
    <row r="862" spans="2:4">
      <c r="B862" t="s">
        <v>632</v>
      </c>
      <c r="C862" t="s">
        <v>633</v>
      </c>
      <c r="D862" t="s">
        <v>2487</v>
      </c>
    </row>
    <row r="863" spans="2:4">
      <c r="B863" t="s">
        <v>634</v>
      </c>
      <c r="C863" t="s">
        <v>635</v>
      </c>
      <c r="D863" t="s">
        <v>2487</v>
      </c>
    </row>
    <row r="864" spans="2:4">
      <c r="B864" t="s">
        <v>1766</v>
      </c>
      <c r="C864" t="s">
        <v>1767</v>
      </c>
      <c r="D864" t="s">
        <v>2487</v>
      </c>
    </row>
    <row r="865" spans="2:4">
      <c r="B865" t="s">
        <v>1768</v>
      </c>
      <c r="C865" t="s">
        <v>1769</v>
      </c>
      <c r="D865" t="s">
        <v>2487</v>
      </c>
    </row>
    <row r="866" spans="2:4">
      <c r="B866" t="s">
        <v>1770</v>
      </c>
      <c r="C866" t="s">
        <v>1771</v>
      </c>
      <c r="D866" t="s">
        <v>2487</v>
      </c>
    </row>
    <row r="867" spans="2:4">
      <c r="B867" t="s">
        <v>1772</v>
      </c>
      <c r="C867" t="s">
        <v>1773</v>
      </c>
      <c r="D867" t="s">
        <v>2487</v>
      </c>
    </row>
    <row r="868" spans="2:4">
      <c r="B868" t="s">
        <v>636</v>
      </c>
      <c r="C868" t="s">
        <v>637</v>
      </c>
      <c r="D868" t="s">
        <v>2487</v>
      </c>
    </row>
    <row r="869" spans="2:4">
      <c r="B869" t="s">
        <v>1774</v>
      </c>
      <c r="C869" t="s">
        <v>1775</v>
      </c>
      <c r="D869" t="s">
        <v>2487</v>
      </c>
    </row>
    <row r="870" spans="2:4">
      <c r="B870" t="s">
        <v>1776</v>
      </c>
      <c r="C870" t="s">
        <v>1777</v>
      </c>
      <c r="D870" t="s">
        <v>2487</v>
      </c>
    </row>
    <row r="871" spans="2:4">
      <c r="B871" t="s">
        <v>1778</v>
      </c>
      <c r="C871" t="s">
        <v>1779</v>
      </c>
      <c r="D871" t="s">
        <v>2487</v>
      </c>
    </row>
    <row r="872" spans="2:4">
      <c r="B872" t="s">
        <v>1780</v>
      </c>
      <c r="C872" t="s">
        <v>1781</v>
      </c>
      <c r="D872" t="s">
        <v>2487</v>
      </c>
    </row>
    <row r="873" spans="2:4">
      <c r="B873" t="s">
        <v>1782</v>
      </c>
      <c r="C873" t="s">
        <v>1783</v>
      </c>
      <c r="D873" t="s">
        <v>2487</v>
      </c>
    </row>
    <row r="874" spans="2:4">
      <c r="B874" t="s">
        <v>1784</v>
      </c>
      <c r="C874" t="s">
        <v>1785</v>
      </c>
    </row>
    <row r="875" spans="2:4">
      <c r="B875" t="s">
        <v>1786</v>
      </c>
      <c r="C875" t="s">
        <v>1787</v>
      </c>
    </row>
    <row r="876" spans="2:4">
      <c r="B876" t="s">
        <v>1788</v>
      </c>
      <c r="C876" t="s">
        <v>1789</v>
      </c>
    </row>
    <row r="877" spans="2:4">
      <c r="B877" t="s">
        <v>1790</v>
      </c>
      <c r="C877" t="s">
        <v>1791</v>
      </c>
    </row>
    <row r="878" spans="2:4">
      <c r="B878" t="s">
        <v>1792</v>
      </c>
      <c r="C878" t="s">
        <v>1793</v>
      </c>
    </row>
    <row r="879" spans="2:4">
      <c r="B879" t="s">
        <v>1794</v>
      </c>
      <c r="C879" t="s">
        <v>1795</v>
      </c>
    </row>
    <row r="880" spans="2:4">
      <c r="B880" t="s">
        <v>1796</v>
      </c>
      <c r="C880" t="s">
        <v>1797</v>
      </c>
    </row>
    <row r="881" spans="2:3">
      <c r="B881" t="s">
        <v>1798</v>
      </c>
      <c r="C881" t="s">
        <v>1799</v>
      </c>
    </row>
    <row r="882" spans="2:3">
      <c r="B882" t="s">
        <v>1800</v>
      </c>
      <c r="C882" t="s">
        <v>1801</v>
      </c>
    </row>
    <row r="883" spans="2:3">
      <c r="B883" t="s">
        <v>1802</v>
      </c>
      <c r="C883" t="s">
        <v>1803</v>
      </c>
    </row>
    <row r="884" spans="2:3">
      <c r="B884" t="s">
        <v>1804</v>
      </c>
      <c r="C884" t="s">
        <v>1805</v>
      </c>
    </row>
    <row r="885" spans="2:3">
      <c r="B885" t="s">
        <v>1806</v>
      </c>
      <c r="C885" t="s">
        <v>1807</v>
      </c>
    </row>
    <row r="886" spans="2:3">
      <c r="B886" t="s">
        <v>1808</v>
      </c>
      <c r="C886" t="s">
        <v>1809</v>
      </c>
    </row>
    <row r="887" spans="2:3">
      <c r="B887" t="s">
        <v>1810</v>
      </c>
      <c r="C887" t="s">
        <v>1811</v>
      </c>
    </row>
    <row r="888" spans="2:3">
      <c r="B888" t="s">
        <v>1812</v>
      </c>
      <c r="C888" t="s">
        <v>1813</v>
      </c>
    </row>
    <row r="889" spans="2:3">
      <c r="B889" t="s">
        <v>1814</v>
      </c>
      <c r="C889" t="s">
        <v>1815</v>
      </c>
    </row>
    <row r="890" spans="2:3">
      <c r="B890" t="s">
        <v>1816</v>
      </c>
      <c r="C890" t="s">
        <v>1817</v>
      </c>
    </row>
    <row r="891" spans="2:3">
      <c r="B891" t="s">
        <v>1818</v>
      </c>
      <c r="C891" t="s">
        <v>1819</v>
      </c>
    </row>
    <row r="892" spans="2:3">
      <c r="B892" t="s">
        <v>1820</v>
      </c>
      <c r="C892" t="s">
        <v>1821</v>
      </c>
    </row>
    <row r="893" spans="2:3">
      <c r="B893" t="s">
        <v>1822</v>
      </c>
      <c r="C893" t="s">
        <v>1823</v>
      </c>
    </row>
    <row r="894" spans="2:3">
      <c r="B894" t="s">
        <v>1824</v>
      </c>
      <c r="C894" t="s">
        <v>1825</v>
      </c>
    </row>
    <row r="895" spans="2:3">
      <c r="B895" t="s">
        <v>1826</v>
      </c>
      <c r="C895" t="s">
        <v>1827</v>
      </c>
    </row>
    <row r="896" spans="2:3">
      <c r="B896" t="s">
        <v>1828</v>
      </c>
      <c r="C896" t="s">
        <v>1829</v>
      </c>
    </row>
    <row r="897" spans="2:10">
      <c r="B897" t="s">
        <v>638</v>
      </c>
      <c r="C897" t="s">
        <v>639</v>
      </c>
      <c r="E897" t="s">
        <v>2484</v>
      </c>
      <c r="F897" t="s">
        <v>2473</v>
      </c>
      <c r="H897" t="s">
        <v>2475</v>
      </c>
      <c r="I897" t="s">
        <v>2476</v>
      </c>
      <c r="J897" t="s">
        <v>2482</v>
      </c>
    </row>
    <row r="898" spans="2:10">
      <c r="B898" t="s">
        <v>640</v>
      </c>
      <c r="C898" t="s">
        <v>641</v>
      </c>
      <c r="E898" t="s">
        <v>2484</v>
      </c>
      <c r="F898" t="s">
        <v>2473</v>
      </c>
      <c r="H898" t="s">
        <v>2475</v>
      </c>
      <c r="I898" t="s">
        <v>2476</v>
      </c>
      <c r="J898" t="s">
        <v>2482</v>
      </c>
    </row>
    <row r="899" spans="2:10">
      <c r="B899" t="s">
        <v>1830</v>
      </c>
      <c r="C899" t="s">
        <v>1831</v>
      </c>
    </row>
    <row r="900" spans="2:10">
      <c r="B900" t="s">
        <v>1832</v>
      </c>
      <c r="C900" t="s">
        <v>1833</v>
      </c>
    </row>
    <row r="901" spans="2:10">
      <c r="B901" t="s">
        <v>1834</v>
      </c>
      <c r="C901" t="s">
        <v>1835</v>
      </c>
    </row>
    <row r="902" spans="2:10">
      <c r="B902" t="s">
        <v>1836</v>
      </c>
      <c r="C902" t="s">
        <v>1837</v>
      </c>
    </row>
    <row r="903" spans="2:10">
      <c r="B903" t="s">
        <v>1838</v>
      </c>
      <c r="C903" t="s">
        <v>1839</v>
      </c>
    </row>
    <row r="904" spans="2:10">
      <c r="B904" t="s">
        <v>1840</v>
      </c>
      <c r="C904" t="s">
        <v>1841</v>
      </c>
    </row>
    <row r="905" spans="2:10">
      <c r="B905" t="s">
        <v>1842</v>
      </c>
      <c r="C905" t="s">
        <v>1843</v>
      </c>
    </row>
    <row r="906" spans="2:10">
      <c r="B906" t="s">
        <v>1844</v>
      </c>
      <c r="C906" t="s">
        <v>1845</v>
      </c>
    </row>
    <row r="907" spans="2:10">
      <c r="B907" t="s">
        <v>1846</v>
      </c>
      <c r="C907" t="s">
        <v>1847</v>
      </c>
    </row>
    <row r="908" spans="2:10">
      <c r="B908" t="s">
        <v>1848</v>
      </c>
      <c r="C908" t="s">
        <v>1849</v>
      </c>
    </row>
    <row r="909" spans="2:10">
      <c r="B909" t="s">
        <v>1850</v>
      </c>
      <c r="C909" t="s">
        <v>1851</v>
      </c>
    </row>
    <row r="910" spans="2:10">
      <c r="B910" t="s">
        <v>1852</v>
      </c>
      <c r="C910" t="s">
        <v>1853</v>
      </c>
    </row>
    <row r="911" spans="2:10">
      <c r="B911" t="s">
        <v>1854</v>
      </c>
      <c r="C911" t="s">
        <v>1855</v>
      </c>
    </row>
    <row r="912" spans="2:10">
      <c r="B912" t="s">
        <v>1856</v>
      </c>
      <c r="C912" t="s">
        <v>1857</v>
      </c>
    </row>
    <row r="913" spans="2:3">
      <c r="B913" t="s">
        <v>1858</v>
      </c>
      <c r="C913" t="s">
        <v>1859</v>
      </c>
    </row>
    <row r="914" spans="2:3">
      <c r="B914" t="s">
        <v>1860</v>
      </c>
      <c r="C914" t="s">
        <v>1861</v>
      </c>
    </row>
    <row r="915" spans="2:3">
      <c r="B915" t="s">
        <v>1862</v>
      </c>
      <c r="C915" t="s">
        <v>1863</v>
      </c>
    </row>
    <row r="916" spans="2:3">
      <c r="B916" t="s">
        <v>1864</v>
      </c>
      <c r="C916" t="s">
        <v>1865</v>
      </c>
    </row>
    <row r="917" spans="2:3">
      <c r="B917" t="s">
        <v>1866</v>
      </c>
      <c r="C917" t="s">
        <v>1867</v>
      </c>
    </row>
    <row r="918" spans="2:3">
      <c r="B918" t="s">
        <v>1868</v>
      </c>
      <c r="C918" t="s">
        <v>1869</v>
      </c>
    </row>
    <row r="919" spans="2:3">
      <c r="B919" t="s">
        <v>1870</v>
      </c>
      <c r="C919" t="s">
        <v>1871</v>
      </c>
    </row>
    <row r="920" spans="2:3">
      <c r="B920" t="s">
        <v>1872</v>
      </c>
      <c r="C920" t="s">
        <v>1873</v>
      </c>
    </row>
    <row r="921" spans="2:3">
      <c r="B921" t="s">
        <v>1874</v>
      </c>
      <c r="C921" t="s">
        <v>1875</v>
      </c>
    </row>
    <row r="922" spans="2:3">
      <c r="B922" t="s">
        <v>1876</v>
      </c>
      <c r="C922" t="s">
        <v>1877</v>
      </c>
    </row>
    <row r="923" spans="2:3">
      <c r="B923" t="s">
        <v>1878</v>
      </c>
      <c r="C923" t="s">
        <v>1879</v>
      </c>
    </row>
    <row r="924" spans="2:3">
      <c r="B924" t="s">
        <v>1880</v>
      </c>
      <c r="C924" t="s">
        <v>1881</v>
      </c>
    </row>
    <row r="925" spans="2:3">
      <c r="B925" t="s">
        <v>1882</v>
      </c>
      <c r="C925" t="s">
        <v>1883</v>
      </c>
    </row>
    <row r="926" spans="2:3">
      <c r="B926" t="s">
        <v>1884</v>
      </c>
      <c r="C926" t="s">
        <v>1885</v>
      </c>
    </row>
    <row r="927" spans="2:3">
      <c r="B927" t="s">
        <v>1886</v>
      </c>
      <c r="C927" t="s">
        <v>1887</v>
      </c>
    </row>
    <row r="928" spans="2:3">
      <c r="B928" t="s">
        <v>1888</v>
      </c>
      <c r="C928" t="s">
        <v>1889</v>
      </c>
    </row>
    <row r="929" spans="2:10">
      <c r="B929" t="s">
        <v>1890</v>
      </c>
      <c r="C929" t="s">
        <v>1891</v>
      </c>
    </row>
    <row r="930" spans="2:10">
      <c r="B930" t="s">
        <v>1892</v>
      </c>
      <c r="C930" t="s">
        <v>1893</v>
      </c>
    </row>
    <row r="931" spans="2:10">
      <c r="B931" t="s">
        <v>1894</v>
      </c>
      <c r="C931" t="s">
        <v>1895</v>
      </c>
    </row>
    <row r="932" spans="2:10">
      <c r="B932" t="s">
        <v>1896</v>
      </c>
      <c r="C932" t="s">
        <v>1897</v>
      </c>
    </row>
    <row r="933" spans="2:10">
      <c r="B933" t="s">
        <v>1898</v>
      </c>
      <c r="C933" t="s">
        <v>1899</v>
      </c>
    </row>
    <row r="934" spans="2:10">
      <c r="B934" t="s">
        <v>1900</v>
      </c>
      <c r="C934" t="s">
        <v>1901</v>
      </c>
    </row>
    <row r="935" spans="2:10">
      <c r="B935" t="s">
        <v>1902</v>
      </c>
      <c r="C935" t="s">
        <v>1903</v>
      </c>
    </row>
    <row r="936" spans="2:10">
      <c r="B936" t="s">
        <v>1904</v>
      </c>
      <c r="C936" t="s">
        <v>1905</v>
      </c>
    </row>
    <row r="937" spans="2:10">
      <c r="B937" t="s">
        <v>642</v>
      </c>
      <c r="C937" t="s">
        <v>643</v>
      </c>
      <c r="E937" t="s">
        <v>2484</v>
      </c>
      <c r="F937" t="s">
        <v>2473</v>
      </c>
      <c r="H937" t="s">
        <v>2475</v>
      </c>
      <c r="I937" t="s">
        <v>2476</v>
      </c>
      <c r="J937" t="s">
        <v>2482</v>
      </c>
    </row>
    <row r="938" spans="2:10">
      <c r="B938" t="s">
        <v>644</v>
      </c>
      <c r="C938" t="s">
        <v>645</v>
      </c>
      <c r="E938" t="s">
        <v>2484</v>
      </c>
      <c r="F938" t="s">
        <v>2473</v>
      </c>
      <c r="H938" t="s">
        <v>2475</v>
      </c>
      <c r="I938" t="s">
        <v>2476</v>
      </c>
      <c r="J938" t="s">
        <v>2482</v>
      </c>
    </row>
    <row r="939" spans="2:10">
      <c r="B939" t="s">
        <v>1906</v>
      </c>
      <c r="C939" t="s">
        <v>1907</v>
      </c>
    </row>
    <row r="940" spans="2:10">
      <c r="B940" t="s">
        <v>1908</v>
      </c>
      <c r="C940" t="s">
        <v>1909</v>
      </c>
    </row>
    <row r="941" spans="2:10">
      <c r="B941" t="s">
        <v>1910</v>
      </c>
      <c r="C941" t="s">
        <v>1911</v>
      </c>
    </row>
    <row r="942" spans="2:10">
      <c r="B942" t="s">
        <v>1912</v>
      </c>
      <c r="C942" t="s">
        <v>1913</v>
      </c>
    </row>
    <row r="943" spans="2:10">
      <c r="B943" t="s">
        <v>1914</v>
      </c>
      <c r="C943" t="s">
        <v>1915</v>
      </c>
    </row>
    <row r="944" spans="2:10">
      <c r="B944" t="s">
        <v>646</v>
      </c>
      <c r="C944" t="s">
        <v>647</v>
      </c>
      <c r="E944" t="s">
        <v>2491</v>
      </c>
      <c r="F944" t="s">
        <v>2473</v>
      </c>
      <c r="G944" t="s">
        <v>2474</v>
      </c>
      <c r="H944" t="s">
        <v>2475</v>
      </c>
      <c r="I944" t="s">
        <v>2476</v>
      </c>
      <c r="J944" t="s">
        <v>2482</v>
      </c>
    </row>
    <row r="945" spans="2:10">
      <c r="B945" t="s">
        <v>1916</v>
      </c>
      <c r="C945" t="s">
        <v>1917</v>
      </c>
    </row>
    <row r="946" spans="2:10">
      <c r="B946" t="s">
        <v>1918</v>
      </c>
      <c r="C946" t="s">
        <v>1919</v>
      </c>
    </row>
    <row r="947" spans="2:10">
      <c r="B947" t="s">
        <v>1920</v>
      </c>
      <c r="C947" t="s">
        <v>1921</v>
      </c>
    </row>
    <row r="948" spans="2:10">
      <c r="B948" t="s">
        <v>1922</v>
      </c>
      <c r="C948" t="s">
        <v>1923</v>
      </c>
    </row>
    <row r="949" spans="2:10">
      <c r="B949" t="s">
        <v>1924</v>
      </c>
      <c r="C949" t="s">
        <v>1925</v>
      </c>
    </row>
    <row r="950" spans="2:10">
      <c r="B950" t="s">
        <v>1926</v>
      </c>
      <c r="C950" t="s">
        <v>1927</v>
      </c>
    </row>
    <row r="951" spans="2:10">
      <c r="B951" t="s">
        <v>1928</v>
      </c>
      <c r="C951" t="s">
        <v>1929</v>
      </c>
    </row>
    <row r="952" spans="2:10">
      <c r="B952" t="s">
        <v>1930</v>
      </c>
      <c r="C952" t="s">
        <v>1931</v>
      </c>
    </row>
    <row r="953" spans="2:10">
      <c r="B953" t="s">
        <v>1932</v>
      </c>
      <c r="C953" t="s">
        <v>1933</v>
      </c>
      <c r="F953" t="s">
        <v>2473</v>
      </c>
    </row>
    <row r="954" spans="2:10">
      <c r="B954" t="s">
        <v>1934</v>
      </c>
      <c r="C954" t="s">
        <v>1935</v>
      </c>
      <c r="F954" t="s">
        <v>2473</v>
      </c>
    </row>
    <row r="955" spans="2:10">
      <c r="B955" t="s">
        <v>1936</v>
      </c>
      <c r="C955" t="s">
        <v>1937</v>
      </c>
    </row>
    <row r="956" spans="2:10">
      <c r="B956" t="s">
        <v>1938</v>
      </c>
      <c r="C956" t="s">
        <v>1939</v>
      </c>
    </row>
    <row r="957" spans="2:10">
      <c r="B957" t="s">
        <v>1940</v>
      </c>
      <c r="C957" t="s">
        <v>1941</v>
      </c>
    </row>
    <row r="958" spans="2:10">
      <c r="B958" t="s">
        <v>1942</v>
      </c>
      <c r="C958" t="s">
        <v>1943</v>
      </c>
      <c r="F958" t="s">
        <v>2473</v>
      </c>
    </row>
    <row r="959" spans="2:10">
      <c r="B959" t="s">
        <v>1944</v>
      </c>
      <c r="C959" t="s">
        <v>1945</v>
      </c>
    </row>
    <row r="960" spans="2:10">
      <c r="B960" t="s">
        <v>648</v>
      </c>
      <c r="C960" t="s">
        <v>649</v>
      </c>
      <c r="E960" t="s">
        <v>2484</v>
      </c>
      <c r="F960" t="s">
        <v>2473</v>
      </c>
      <c r="H960" t="s">
        <v>2475</v>
      </c>
      <c r="I960" t="s">
        <v>2476</v>
      </c>
      <c r="J960" t="s">
        <v>2482</v>
      </c>
    </row>
    <row r="961" spans="2:3">
      <c r="B961" t="s">
        <v>1946</v>
      </c>
      <c r="C961" t="s">
        <v>1947</v>
      </c>
    </row>
    <row r="962" spans="2:3">
      <c r="B962" t="s">
        <v>1948</v>
      </c>
      <c r="C962" t="s">
        <v>1949</v>
      </c>
    </row>
    <row r="963" spans="2:3">
      <c r="B963" t="s">
        <v>1950</v>
      </c>
      <c r="C963" t="s">
        <v>1951</v>
      </c>
    </row>
    <row r="964" spans="2:3">
      <c r="B964" t="s">
        <v>1952</v>
      </c>
      <c r="C964" t="s">
        <v>1953</v>
      </c>
    </row>
    <row r="965" spans="2:3">
      <c r="B965" t="s">
        <v>1954</v>
      </c>
      <c r="C965" t="s">
        <v>1955</v>
      </c>
    </row>
    <row r="966" spans="2:3">
      <c r="B966" t="s">
        <v>1956</v>
      </c>
      <c r="C966" t="s">
        <v>1957</v>
      </c>
    </row>
    <row r="967" spans="2:3">
      <c r="B967" t="s">
        <v>1958</v>
      </c>
      <c r="C967" t="s">
        <v>1959</v>
      </c>
    </row>
    <row r="968" spans="2:3">
      <c r="B968" t="s">
        <v>1960</v>
      </c>
      <c r="C968" t="s">
        <v>1961</v>
      </c>
    </row>
    <row r="969" spans="2:3">
      <c r="B969" t="s">
        <v>1962</v>
      </c>
      <c r="C969" t="s">
        <v>1963</v>
      </c>
    </row>
    <row r="970" spans="2:3">
      <c r="B970" t="s">
        <v>1964</v>
      </c>
      <c r="C970" t="s">
        <v>1965</v>
      </c>
    </row>
    <row r="971" spans="2:3">
      <c r="B971" t="s">
        <v>1966</v>
      </c>
      <c r="C971" t="s">
        <v>1967</v>
      </c>
    </row>
    <row r="972" spans="2:3">
      <c r="B972" t="s">
        <v>1968</v>
      </c>
      <c r="C972" t="s">
        <v>1969</v>
      </c>
    </row>
    <row r="973" spans="2:3">
      <c r="B973" t="s">
        <v>1970</v>
      </c>
      <c r="C973" t="s">
        <v>1971</v>
      </c>
    </row>
    <row r="974" spans="2:3">
      <c r="B974" t="s">
        <v>1972</v>
      </c>
      <c r="C974" t="s">
        <v>1973</v>
      </c>
    </row>
    <row r="975" spans="2:3">
      <c r="B975" t="s">
        <v>1974</v>
      </c>
      <c r="C975" t="s">
        <v>1975</v>
      </c>
    </row>
    <row r="976" spans="2:3">
      <c r="B976" t="s">
        <v>1976</v>
      </c>
      <c r="C976" t="s">
        <v>1977</v>
      </c>
    </row>
    <row r="977" spans="2:3">
      <c r="B977" t="s">
        <v>1978</v>
      </c>
      <c r="C977" t="s">
        <v>1979</v>
      </c>
    </row>
    <row r="978" spans="2:3">
      <c r="B978" t="s">
        <v>1980</v>
      </c>
      <c r="C978" t="s">
        <v>1981</v>
      </c>
    </row>
    <row r="979" spans="2:3">
      <c r="B979" t="s">
        <v>1982</v>
      </c>
      <c r="C979" t="s">
        <v>1983</v>
      </c>
    </row>
    <row r="980" spans="2:3">
      <c r="B980" t="s">
        <v>1984</v>
      </c>
      <c r="C980" t="s">
        <v>1985</v>
      </c>
    </row>
    <row r="981" spans="2:3">
      <c r="B981" t="s">
        <v>1986</v>
      </c>
      <c r="C981" t="s">
        <v>1987</v>
      </c>
    </row>
    <row r="982" spans="2:3">
      <c r="B982" t="s">
        <v>1988</v>
      </c>
      <c r="C982" t="s">
        <v>1989</v>
      </c>
    </row>
    <row r="983" spans="2:3">
      <c r="B983" t="s">
        <v>1990</v>
      </c>
      <c r="C983" t="s">
        <v>1991</v>
      </c>
    </row>
    <row r="984" spans="2:3">
      <c r="B984" t="s">
        <v>1992</v>
      </c>
      <c r="C984" t="s">
        <v>1993</v>
      </c>
    </row>
    <row r="985" spans="2:3">
      <c r="B985" t="s">
        <v>1994</v>
      </c>
      <c r="C985" t="s">
        <v>1995</v>
      </c>
    </row>
    <row r="986" spans="2:3">
      <c r="B986" t="s">
        <v>1996</v>
      </c>
      <c r="C986" t="s">
        <v>1997</v>
      </c>
    </row>
    <row r="987" spans="2:3">
      <c r="B987" t="s">
        <v>1998</v>
      </c>
      <c r="C987" t="s">
        <v>1999</v>
      </c>
    </row>
    <row r="988" spans="2:3">
      <c r="B988" t="s">
        <v>2000</v>
      </c>
      <c r="C988" t="s">
        <v>2001</v>
      </c>
    </row>
    <row r="989" spans="2:3">
      <c r="B989" t="s">
        <v>2002</v>
      </c>
      <c r="C989" t="s">
        <v>2003</v>
      </c>
    </row>
    <row r="990" spans="2:3">
      <c r="B990" t="s">
        <v>2004</v>
      </c>
      <c r="C990" t="s">
        <v>2005</v>
      </c>
    </row>
    <row r="991" spans="2:3">
      <c r="B991" t="s">
        <v>2006</v>
      </c>
      <c r="C991" t="s">
        <v>2007</v>
      </c>
    </row>
    <row r="992" spans="2:3">
      <c r="B992" t="s">
        <v>2008</v>
      </c>
      <c r="C992" t="s">
        <v>2009</v>
      </c>
    </row>
    <row r="993" spans="2:3">
      <c r="B993" t="s">
        <v>2010</v>
      </c>
      <c r="C993" t="s">
        <v>2011</v>
      </c>
    </row>
    <row r="994" spans="2:3">
      <c r="B994" t="s">
        <v>2012</v>
      </c>
      <c r="C994" t="s">
        <v>2013</v>
      </c>
    </row>
    <row r="995" spans="2:3">
      <c r="B995" t="s">
        <v>2014</v>
      </c>
      <c r="C995" t="s">
        <v>2015</v>
      </c>
    </row>
    <row r="996" spans="2:3">
      <c r="B996" t="s">
        <v>2016</v>
      </c>
      <c r="C996" t="s">
        <v>2017</v>
      </c>
    </row>
    <row r="997" spans="2:3">
      <c r="B997" t="s">
        <v>2018</v>
      </c>
      <c r="C997" t="s">
        <v>2019</v>
      </c>
    </row>
    <row r="998" spans="2:3">
      <c r="B998" t="s">
        <v>2020</v>
      </c>
      <c r="C998" t="s">
        <v>2021</v>
      </c>
    </row>
    <row r="999" spans="2:3">
      <c r="B999" t="s">
        <v>2022</v>
      </c>
      <c r="C999" t="s">
        <v>2023</v>
      </c>
    </row>
    <row r="1000" spans="2:3">
      <c r="B1000" t="s">
        <v>2024</v>
      </c>
      <c r="C1000" t="s">
        <v>2025</v>
      </c>
    </row>
    <row r="1001" spans="2:3">
      <c r="B1001" t="s">
        <v>2026</v>
      </c>
      <c r="C1001" t="s">
        <v>2027</v>
      </c>
    </row>
    <row r="1002" spans="2:3">
      <c r="B1002" t="s">
        <v>2028</v>
      </c>
      <c r="C1002" t="s">
        <v>2029</v>
      </c>
    </row>
    <row r="1003" spans="2:3">
      <c r="B1003" t="s">
        <v>2030</v>
      </c>
      <c r="C1003" t="s">
        <v>2031</v>
      </c>
    </row>
    <row r="1004" spans="2:3">
      <c r="B1004" t="s">
        <v>2032</v>
      </c>
      <c r="C1004" t="s">
        <v>2033</v>
      </c>
    </row>
    <row r="1005" spans="2:3">
      <c r="B1005" t="s">
        <v>2034</v>
      </c>
      <c r="C1005" t="s">
        <v>2035</v>
      </c>
    </row>
    <row r="1006" spans="2:3">
      <c r="B1006" t="s">
        <v>2036</v>
      </c>
      <c r="C1006" t="s">
        <v>2037</v>
      </c>
    </row>
    <row r="1007" spans="2:3">
      <c r="B1007" t="s">
        <v>2038</v>
      </c>
      <c r="C1007" t="s">
        <v>2039</v>
      </c>
    </row>
    <row r="1008" spans="2:3">
      <c r="B1008" t="s">
        <v>2040</v>
      </c>
      <c r="C1008" t="s">
        <v>2041</v>
      </c>
    </row>
    <row r="1009" spans="2:6">
      <c r="B1009" t="s">
        <v>2042</v>
      </c>
      <c r="C1009" t="s">
        <v>2043</v>
      </c>
    </row>
    <row r="1010" spans="2:6">
      <c r="B1010" t="s">
        <v>2044</v>
      </c>
      <c r="C1010" t="s">
        <v>2045</v>
      </c>
      <c r="F1010" t="s">
        <v>2473</v>
      </c>
    </row>
    <row r="1011" spans="2:6">
      <c r="B1011" t="s">
        <v>2046</v>
      </c>
      <c r="C1011" t="s">
        <v>2047</v>
      </c>
      <c r="F1011" t="s">
        <v>2473</v>
      </c>
    </row>
    <row r="1012" spans="2:6">
      <c r="B1012" t="s">
        <v>2048</v>
      </c>
      <c r="C1012" t="s">
        <v>2049</v>
      </c>
      <c r="F1012" t="s">
        <v>2473</v>
      </c>
    </row>
    <row r="1013" spans="2:6">
      <c r="B1013" t="s">
        <v>2050</v>
      </c>
      <c r="C1013" t="s">
        <v>2051</v>
      </c>
    </row>
    <row r="1014" spans="2:6">
      <c r="B1014" t="s">
        <v>2052</v>
      </c>
      <c r="C1014" t="s">
        <v>2053</v>
      </c>
    </row>
    <row r="1015" spans="2:6">
      <c r="B1015" t="s">
        <v>2054</v>
      </c>
      <c r="C1015" t="s">
        <v>2055</v>
      </c>
    </row>
    <row r="1016" spans="2:6">
      <c r="B1016" t="s">
        <v>2056</v>
      </c>
      <c r="C1016" t="s">
        <v>2057</v>
      </c>
    </row>
    <row r="1017" spans="2:6">
      <c r="B1017" t="s">
        <v>2058</v>
      </c>
      <c r="C1017" t="s">
        <v>2059</v>
      </c>
    </row>
    <row r="1018" spans="2:6">
      <c r="B1018" t="s">
        <v>2060</v>
      </c>
      <c r="C1018" t="s">
        <v>2059</v>
      </c>
    </row>
    <row r="1019" spans="2:6">
      <c r="B1019" t="s">
        <v>2061</v>
      </c>
      <c r="C1019" t="s">
        <v>2062</v>
      </c>
    </row>
    <row r="1020" spans="2:6">
      <c r="B1020" t="s">
        <v>2063</v>
      </c>
      <c r="C1020" t="s">
        <v>2064</v>
      </c>
    </row>
    <row r="1021" spans="2:6">
      <c r="B1021" t="s">
        <v>2065</v>
      </c>
      <c r="C1021" t="s">
        <v>2066</v>
      </c>
    </row>
    <row r="1022" spans="2:6">
      <c r="B1022" t="s">
        <v>2067</v>
      </c>
      <c r="C1022" t="s">
        <v>2068</v>
      </c>
    </row>
    <row r="1023" spans="2:6">
      <c r="B1023" t="s">
        <v>2069</v>
      </c>
      <c r="C1023" t="s">
        <v>2070</v>
      </c>
    </row>
    <row r="1024" spans="2:6">
      <c r="B1024" t="s">
        <v>2071</v>
      </c>
      <c r="C1024" t="s">
        <v>2072</v>
      </c>
    </row>
    <row r="1025" spans="2:10">
      <c r="B1025" t="s">
        <v>2073</v>
      </c>
      <c r="C1025" t="s">
        <v>2074</v>
      </c>
    </row>
    <row r="1026" spans="2:10">
      <c r="B1026" t="s">
        <v>2075</v>
      </c>
      <c r="C1026" t="s">
        <v>2076</v>
      </c>
    </row>
    <row r="1027" spans="2:10">
      <c r="B1027" t="s">
        <v>2077</v>
      </c>
      <c r="C1027" t="s">
        <v>2078</v>
      </c>
    </row>
    <row r="1028" spans="2:10">
      <c r="B1028" t="s">
        <v>2079</v>
      </c>
      <c r="C1028" t="s">
        <v>2080</v>
      </c>
    </row>
    <row r="1029" spans="2:10">
      <c r="B1029" t="s">
        <v>2081</v>
      </c>
      <c r="C1029" t="s">
        <v>2082</v>
      </c>
    </row>
    <row r="1030" spans="2:10">
      <c r="B1030" t="s">
        <v>650</v>
      </c>
      <c r="C1030" t="s">
        <v>651</v>
      </c>
      <c r="E1030" t="s">
        <v>2484</v>
      </c>
      <c r="F1030" t="s">
        <v>2473</v>
      </c>
      <c r="H1030" t="s">
        <v>2475</v>
      </c>
      <c r="I1030" t="s">
        <v>2476</v>
      </c>
      <c r="J1030" t="s">
        <v>2482</v>
      </c>
    </row>
    <row r="1031" spans="2:10">
      <c r="B1031" t="s">
        <v>2083</v>
      </c>
      <c r="C1031" t="s">
        <v>2084</v>
      </c>
    </row>
    <row r="1032" spans="2:10">
      <c r="B1032" t="s">
        <v>2085</v>
      </c>
      <c r="C1032" t="s">
        <v>2086</v>
      </c>
    </row>
    <row r="1033" spans="2:10">
      <c r="B1033" t="s">
        <v>2087</v>
      </c>
      <c r="C1033" t="s">
        <v>2088</v>
      </c>
    </row>
    <row r="1034" spans="2:10">
      <c r="B1034" t="s">
        <v>2089</v>
      </c>
      <c r="C1034" t="s">
        <v>2090</v>
      </c>
    </row>
    <row r="1035" spans="2:10">
      <c r="B1035" t="s">
        <v>2091</v>
      </c>
      <c r="C1035" t="s">
        <v>2092</v>
      </c>
    </row>
    <row r="1036" spans="2:10">
      <c r="B1036" t="s">
        <v>2093</v>
      </c>
      <c r="C1036" t="s">
        <v>2094</v>
      </c>
    </row>
    <row r="1037" spans="2:10">
      <c r="B1037" t="s">
        <v>2095</v>
      </c>
      <c r="C1037" t="s">
        <v>2096</v>
      </c>
    </row>
    <row r="1038" spans="2:10">
      <c r="B1038" t="s">
        <v>2097</v>
      </c>
      <c r="C1038" t="s">
        <v>2098</v>
      </c>
    </row>
    <row r="1039" spans="2:10">
      <c r="B1039" t="s">
        <v>2099</v>
      </c>
      <c r="C1039" t="s">
        <v>2100</v>
      </c>
    </row>
    <row r="1040" spans="2:10">
      <c r="B1040" t="s">
        <v>2101</v>
      </c>
      <c r="C1040" t="s">
        <v>2102</v>
      </c>
    </row>
    <row r="1041" spans="2:3">
      <c r="B1041" t="s">
        <v>2103</v>
      </c>
      <c r="C1041" t="s">
        <v>2104</v>
      </c>
    </row>
    <row r="1042" spans="2:3">
      <c r="B1042" t="s">
        <v>2105</v>
      </c>
      <c r="C1042" t="s">
        <v>2106</v>
      </c>
    </row>
    <row r="1043" spans="2:3">
      <c r="B1043" t="s">
        <v>2107</v>
      </c>
      <c r="C1043" t="s">
        <v>2108</v>
      </c>
    </row>
    <row r="1044" spans="2:3">
      <c r="B1044" t="s">
        <v>2109</v>
      </c>
      <c r="C1044" t="s">
        <v>2110</v>
      </c>
    </row>
    <row r="1045" spans="2:3">
      <c r="B1045" t="s">
        <v>2111</v>
      </c>
      <c r="C1045" t="s">
        <v>2112</v>
      </c>
    </row>
    <row r="1046" spans="2:3">
      <c r="B1046" t="s">
        <v>2113</v>
      </c>
      <c r="C1046" t="s">
        <v>2114</v>
      </c>
    </row>
    <row r="1047" spans="2:3">
      <c r="B1047" t="s">
        <v>2115</v>
      </c>
      <c r="C1047" t="s">
        <v>2116</v>
      </c>
    </row>
    <row r="1048" spans="2:3">
      <c r="B1048" t="s">
        <v>2117</v>
      </c>
      <c r="C1048" t="s">
        <v>2118</v>
      </c>
    </row>
    <row r="1049" spans="2:3">
      <c r="B1049" t="s">
        <v>2119</v>
      </c>
      <c r="C1049" t="s">
        <v>2120</v>
      </c>
    </row>
    <row r="1050" spans="2:3">
      <c r="B1050" t="s">
        <v>2121</v>
      </c>
      <c r="C1050" t="s">
        <v>2122</v>
      </c>
    </row>
    <row r="1051" spans="2:3">
      <c r="B1051" t="s">
        <v>2123</v>
      </c>
      <c r="C1051" t="s">
        <v>2124</v>
      </c>
    </row>
    <row r="1052" spans="2:3">
      <c r="B1052" t="s">
        <v>2125</v>
      </c>
      <c r="C1052" t="s">
        <v>2126</v>
      </c>
    </row>
    <row r="1053" spans="2:3">
      <c r="B1053" t="s">
        <v>2127</v>
      </c>
      <c r="C1053" t="s">
        <v>2128</v>
      </c>
    </row>
    <row r="1054" spans="2:3">
      <c r="B1054" t="s">
        <v>2129</v>
      </c>
      <c r="C1054" t="s">
        <v>2130</v>
      </c>
    </row>
    <row r="1055" spans="2:3">
      <c r="B1055" t="s">
        <v>2131</v>
      </c>
      <c r="C1055" t="s">
        <v>2132</v>
      </c>
    </row>
    <row r="1056" spans="2:3">
      <c r="B1056" t="s">
        <v>2133</v>
      </c>
      <c r="C1056" t="s">
        <v>2134</v>
      </c>
    </row>
    <row r="1057" spans="2:3">
      <c r="B1057" t="s">
        <v>2135</v>
      </c>
      <c r="C1057" t="s">
        <v>2136</v>
      </c>
    </row>
    <row r="1058" spans="2:3">
      <c r="B1058" t="s">
        <v>2137</v>
      </c>
      <c r="C1058" t="s">
        <v>2138</v>
      </c>
    </row>
    <row r="1059" spans="2:3">
      <c r="B1059" t="s">
        <v>2139</v>
      </c>
      <c r="C1059" t="s">
        <v>2140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Recive</vt:lpstr>
      <vt:lpstr>Route Ticket</vt:lpstr>
      <vt:lpstr>Stock In</vt:lpstr>
      <vt:lpstr>Total Stock In</vt:lpstr>
      <vt:lpstr>Record</vt:lpstr>
      <vt:lpstr>DATABASE</vt:lpstr>
      <vt:lpstr>'Stock In'!_FilterDatabase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TH,SAP</dc:creator>
  <cp:lastModifiedBy>TH,store</cp:lastModifiedBy>
  <cp:lastPrinted>2021-01-04T02:30:26Z</cp:lastPrinted>
  <dcterms:created xsi:type="dcterms:W3CDTF">2020-07-13T16:34:18Z</dcterms:created>
  <dcterms:modified xsi:type="dcterms:W3CDTF">2021-01-04T03:15:41Z</dcterms:modified>
</cp:coreProperties>
</file>